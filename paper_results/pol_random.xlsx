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dev/cliffordopt/paper_results/"/>
    </mc:Choice>
  </mc:AlternateContent>
  <xr:revisionPtr revIDLastSave="0" documentId="13_ncr:1_{87F7DF93-5EE0-9F44-A545-1EDB06E9A853}" xr6:coauthVersionLast="47" xr6:coauthVersionMax="47" xr10:uidLastSave="{00000000-0000-0000-0000-000000000000}"/>
  <bookViews>
    <workbookView xWindow="0" yWindow="740" windowWidth="29400" windowHeight="17340" xr2:uid="{35DC7BA8-7D71-304E-BA42-3A6D827BCF91}"/>
  </bookViews>
  <sheets>
    <sheet name="pol-CX" sheetId="3" r:id="rId1"/>
    <sheet name="pol-depth" sheetId="5" r:id="rId2"/>
    <sheet name="summ" sheetId="21" r:id="rId3"/>
    <sheet name="Sheet1" sheetId="8" r:id="rId4"/>
    <sheet name="Sheet1a" sheetId="18" r:id="rId5"/>
    <sheet name="Sheet2" sheetId="9" r:id="rId6"/>
    <sheet name="Sheet3" sheetId="10" r:id="rId7"/>
    <sheet name="Sheet4" sheetId="11" r:id="rId8"/>
    <sheet name="Sheet4a" sheetId="19" r:id="rId9"/>
    <sheet name="Sheet5" sheetId="12" r:id="rId10"/>
    <sheet name="Sheet6" sheetId="13" r:id="rId11"/>
    <sheet name="Sheet7" sheetId="14" r:id="rId12"/>
    <sheet name="Sheet7a" sheetId="20" r:id="rId13"/>
    <sheet name="Sheet8" sheetId="15" r:id="rId14"/>
    <sheet name="Sheet9" sheetId="16" r:id="rId15"/>
    <sheet name="Sheet10" sheetId="22" r:id="rId16"/>
    <sheet name="astar-CX" sheetId="2" r:id="rId17"/>
    <sheet name="astar-D" sheetId="7" r:id="rId18"/>
    <sheet name="greedy-CX" sheetId="1" r:id="rId19"/>
    <sheet name="greedy-D" sheetId="6" r:id="rId20"/>
    <sheet name="analysis" sheetId="4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3" i="3" l="1"/>
  <c r="AI33" i="3"/>
  <c r="AH33" i="3"/>
  <c r="AG33" i="3"/>
  <c r="AF33" i="3"/>
  <c r="AE33" i="3"/>
  <c r="AD33" i="3"/>
  <c r="AC33" i="3"/>
  <c r="AJ32" i="3"/>
  <c r="AI32" i="3"/>
  <c r="AH32" i="3"/>
  <c r="AG32" i="3"/>
  <c r="AF32" i="3"/>
  <c r="AE32" i="3"/>
  <c r="AD32" i="3"/>
  <c r="AC32" i="3"/>
  <c r="AJ31" i="3"/>
  <c r="AI31" i="3"/>
  <c r="AH31" i="3"/>
  <c r="AG31" i="3"/>
  <c r="AF31" i="3"/>
  <c r="AE31" i="3"/>
  <c r="AD31" i="3"/>
  <c r="AC31" i="3"/>
  <c r="AJ30" i="3"/>
  <c r="AI30" i="3"/>
  <c r="AH30" i="3"/>
  <c r="AG30" i="3"/>
  <c r="AF30" i="3"/>
  <c r="AE30" i="3"/>
  <c r="AD30" i="3"/>
  <c r="AC30" i="3"/>
  <c r="AJ29" i="3"/>
  <c r="AI29" i="3"/>
  <c r="AH29" i="3"/>
  <c r="AG29" i="3"/>
  <c r="AF29" i="3"/>
  <c r="AE29" i="3"/>
  <c r="AD29" i="3"/>
  <c r="AC29" i="3"/>
  <c r="AJ28" i="3"/>
  <c r="AI28" i="3"/>
  <c r="AH28" i="3"/>
  <c r="AG28" i="3"/>
  <c r="AF28" i="3"/>
  <c r="AE28" i="3"/>
  <c r="AD28" i="3"/>
  <c r="AC28" i="3"/>
  <c r="AJ27" i="3"/>
  <c r="AI27" i="3"/>
  <c r="AH27" i="3"/>
  <c r="AG27" i="3"/>
  <c r="AF27" i="3"/>
  <c r="AE27" i="3"/>
  <c r="AD27" i="3"/>
  <c r="AC27" i="3"/>
  <c r="AJ26" i="3"/>
  <c r="AI26" i="3"/>
  <c r="AH26" i="3"/>
  <c r="AG26" i="3"/>
  <c r="AF26" i="3"/>
  <c r="AE26" i="3"/>
  <c r="AD26" i="3"/>
  <c r="AC26" i="3"/>
  <c r="AJ25" i="3"/>
  <c r="AI25" i="3"/>
  <c r="AH25" i="3"/>
  <c r="AG25" i="3"/>
  <c r="AF25" i="3"/>
  <c r="AE25" i="3"/>
  <c r="AD25" i="3"/>
  <c r="AC25" i="3"/>
  <c r="AJ24" i="3"/>
  <c r="AI24" i="3"/>
  <c r="AH24" i="3"/>
  <c r="AG24" i="3"/>
  <c r="AF24" i="3"/>
  <c r="AE24" i="3"/>
  <c r="AD24" i="3"/>
  <c r="AC24" i="3"/>
  <c r="AH23" i="3"/>
  <c r="AG23" i="3"/>
  <c r="AF23" i="3"/>
  <c r="AE23" i="3"/>
  <c r="AD23" i="3"/>
  <c r="AC23" i="3"/>
  <c r="AH22" i="3"/>
  <c r="AG22" i="3"/>
  <c r="AF22" i="3"/>
  <c r="AE22" i="3"/>
  <c r="AD22" i="3"/>
  <c r="AC22" i="3"/>
  <c r="AH21" i="3"/>
  <c r="AG21" i="3"/>
  <c r="AF21" i="3"/>
  <c r="AE21" i="3"/>
  <c r="AD21" i="3"/>
  <c r="AC21" i="3"/>
  <c r="AH20" i="3"/>
  <c r="AG20" i="3"/>
  <c r="AF20" i="3"/>
  <c r="AE20" i="3"/>
  <c r="AD20" i="3"/>
  <c r="AC20" i="3"/>
  <c r="AH19" i="3"/>
  <c r="AG19" i="3"/>
  <c r="AF19" i="3"/>
  <c r="AE19" i="3"/>
  <c r="AD19" i="3"/>
  <c r="AC19" i="3"/>
  <c r="AH18" i="3"/>
  <c r="AG18" i="3"/>
  <c r="AF18" i="3"/>
  <c r="AE18" i="3"/>
  <c r="AD18" i="3"/>
  <c r="AC18" i="3"/>
  <c r="AH17" i="3"/>
  <c r="AG17" i="3"/>
  <c r="AF17" i="3"/>
  <c r="AE17" i="3"/>
  <c r="AD17" i="3"/>
  <c r="AC17" i="3"/>
  <c r="AH16" i="3"/>
  <c r="AG16" i="3"/>
  <c r="AF16" i="3"/>
  <c r="AE16" i="3"/>
  <c r="AD16" i="3"/>
  <c r="AC16" i="3"/>
  <c r="AH15" i="3"/>
  <c r="AG15" i="3"/>
  <c r="AF15" i="3"/>
  <c r="AE15" i="3"/>
  <c r="AD15" i="3"/>
  <c r="AC15" i="3"/>
  <c r="AH14" i="3"/>
  <c r="AG14" i="3"/>
  <c r="AF14" i="3"/>
  <c r="AE14" i="3"/>
  <c r="AD14" i="3"/>
  <c r="AC14" i="3"/>
  <c r="AH13" i="3"/>
  <c r="AG13" i="3"/>
  <c r="AF13" i="3"/>
  <c r="AE13" i="3"/>
  <c r="AD13" i="3"/>
  <c r="AC13" i="3"/>
  <c r="AH12" i="3"/>
  <c r="AG12" i="3"/>
  <c r="AF12" i="3"/>
  <c r="AE12" i="3"/>
  <c r="AD12" i="3"/>
  <c r="AC12" i="3"/>
  <c r="AH11" i="3"/>
  <c r="AG11" i="3"/>
  <c r="AF11" i="3"/>
  <c r="AE11" i="3"/>
  <c r="AD11" i="3"/>
  <c r="AC11" i="3"/>
  <c r="AH10" i="3"/>
  <c r="AG10" i="3"/>
  <c r="AF10" i="3"/>
  <c r="AE10" i="3"/>
  <c r="AD10" i="3"/>
  <c r="AC10" i="3"/>
  <c r="AH9" i="3"/>
  <c r="AF9" i="3"/>
  <c r="AG9" i="3"/>
  <c r="AE9" i="3"/>
  <c r="AD9" i="3"/>
  <c r="AC9" i="3"/>
  <c r="AN8" i="3"/>
  <c r="AM7" i="3"/>
  <c r="AM8" i="3"/>
  <c r="AL8" i="3"/>
  <c r="AK8" i="3"/>
  <c r="AJ8" i="3"/>
  <c r="AI8" i="3"/>
  <c r="AH8" i="3"/>
  <c r="AG8" i="3"/>
  <c r="AF8" i="3"/>
  <c r="AE8" i="3"/>
  <c r="AD8" i="3"/>
  <c r="AC8" i="3"/>
  <c r="AD7" i="3"/>
  <c r="AK7" i="3"/>
  <c r="AI7" i="3"/>
  <c r="AG7" i="3"/>
  <c r="AE7" i="3"/>
  <c r="AC7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8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Q25" i="3"/>
  <c r="T24" i="3"/>
  <c r="S24" i="3"/>
  <c r="R24" i="3"/>
  <c r="Q24" i="3"/>
  <c r="T23" i="3"/>
  <c r="S23" i="3"/>
  <c r="R23" i="3"/>
  <c r="Q23" i="3"/>
  <c r="T22" i="3"/>
  <c r="S22" i="3"/>
  <c r="R22" i="3"/>
  <c r="Q22" i="3"/>
  <c r="T21" i="3"/>
  <c r="S21" i="3"/>
  <c r="R21" i="3"/>
  <c r="Q21" i="3"/>
  <c r="T20" i="3"/>
  <c r="S20" i="3"/>
  <c r="R20" i="3"/>
  <c r="Q20" i="3"/>
  <c r="T19" i="3"/>
  <c r="S19" i="3"/>
  <c r="R19" i="3"/>
  <c r="Q19" i="3"/>
  <c r="T18" i="3"/>
  <c r="S18" i="3"/>
  <c r="R18" i="3"/>
  <c r="Q18" i="3"/>
  <c r="T17" i="3"/>
  <c r="S17" i="3"/>
  <c r="R17" i="3"/>
  <c r="Q17" i="3"/>
  <c r="T16" i="3"/>
  <c r="S16" i="3"/>
  <c r="R16" i="3"/>
  <c r="Q16" i="3"/>
  <c r="T15" i="3"/>
  <c r="S15" i="3"/>
  <c r="R15" i="3"/>
  <c r="Q15" i="3"/>
  <c r="T14" i="3"/>
  <c r="S14" i="3"/>
  <c r="R14" i="3"/>
  <c r="Q14" i="3"/>
  <c r="T13" i="3"/>
  <c r="S13" i="3"/>
  <c r="R13" i="3"/>
  <c r="Q13" i="3"/>
  <c r="T12" i="3"/>
  <c r="S12" i="3"/>
  <c r="R12" i="3"/>
  <c r="Q12" i="3"/>
  <c r="T11" i="3"/>
  <c r="S11" i="3"/>
  <c r="R11" i="3"/>
  <c r="Q11" i="3"/>
  <c r="T10" i="3"/>
  <c r="S10" i="3"/>
  <c r="R10" i="3"/>
  <c r="Q10" i="3"/>
  <c r="T9" i="3"/>
  <c r="S9" i="3"/>
  <c r="R9" i="3"/>
  <c r="Q9" i="3"/>
  <c r="T8" i="3"/>
  <c r="S8" i="3"/>
  <c r="R8" i="3"/>
  <c r="Q8" i="3"/>
  <c r="T7" i="3"/>
  <c r="R7" i="3"/>
  <c r="Q7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I59" i="4" l="1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35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35" i="4"/>
  <c r="I34" i="4"/>
  <c r="H34" i="4"/>
  <c r="G34" i="4"/>
  <c r="H21" i="4"/>
  <c r="H22" i="4"/>
  <c r="H23" i="4"/>
  <c r="H24" i="4"/>
  <c r="H25" i="4"/>
  <c r="H26" i="4"/>
  <c r="H27" i="4"/>
  <c r="H28" i="4"/>
  <c r="H29" i="4"/>
  <c r="H30" i="4"/>
  <c r="C21" i="4"/>
  <c r="C22" i="4"/>
  <c r="C23" i="4"/>
  <c r="C24" i="4"/>
  <c r="C25" i="4"/>
  <c r="C26" i="4"/>
  <c r="C27" i="4"/>
  <c r="C28" i="4"/>
  <c r="C29" i="4"/>
  <c r="C30" i="4"/>
  <c r="D30" i="4"/>
  <c r="D29" i="4"/>
  <c r="D28" i="4"/>
  <c r="D27" i="4"/>
  <c r="D26" i="4"/>
  <c r="D25" i="4"/>
  <c r="D24" i="4"/>
  <c r="D23" i="4"/>
  <c r="D22" i="4"/>
  <c r="D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6" i="4"/>
  <c r="H5" i="4"/>
  <c r="I5" i="4"/>
  <c r="G5" i="4"/>
  <c r="C6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G6" i="4"/>
  <c r="B6" i="4"/>
  <c r="P35" i="21"/>
  <c r="P27" i="21"/>
  <c r="P19" i="21"/>
  <c r="P11" i="21"/>
  <c r="P16" i="21"/>
  <c r="P23" i="21"/>
  <c r="P30" i="21"/>
  <c r="P29" i="21"/>
  <c r="P34" i="21"/>
  <c r="P26" i="21"/>
  <c r="P18" i="21"/>
  <c r="P10" i="21"/>
  <c r="P25" i="21"/>
  <c r="P17" i="21"/>
  <c r="P24" i="21"/>
  <c r="P9" i="21" a="1"/>
  <c r="P14" i="21"/>
  <c r="P21" i="21"/>
  <c r="P33" i="21"/>
  <c r="P15" i="21"/>
  <c r="P22" i="21"/>
  <c r="P32" i="21"/>
  <c r="P31" i="21"/>
  <c r="P28" i="21"/>
  <c r="P20" i="21"/>
  <c r="P12" i="21"/>
  <c r="P8" i="21" a="1"/>
  <c r="P13" i="21"/>
  <c r="K31" i="21"/>
  <c r="D35" i="21"/>
  <c r="G25" i="21"/>
  <c r="O19" i="21"/>
  <c r="M33" i="21"/>
  <c r="F29" i="21"/>
  <c r="M31" i="21"/>
  <c r="J28" i="21"/>
  <c r="D30" i="21"/>
  <c r="I27" i="21"/>
  <c r="G22" i="21"/>
  <c r="M17" i="21"/>
  <c r="I12" i="21"/>
  <c r="M32" i="21"/>
  <c r="N26" i="21"/>
  <c r="F22" i="21"/>
  <c r="AA33" i="21" a="1"/>
  <c r="M26" i="21"/>
  <c r="N22" i="21"/>
  <c r="AC19" i="21" a="1"/>
  <c r="G14" i="21"/>
  <c r="J31" i="21"/>
  <c r="H23" i="21"/>
  <c r="N24" i="21"/>
  <c r="L20" i="21"/>
  <c r="K14" i="21"/>
  <c r="N9" i="21" a="1"/>
  <c r="J29" i="21"/>
  <c r="M23" i="21"/>
  <c r="F16" i="21"/>
  <c r="J12" i="21"/>
  <c r="D24" i="21"/>
  <c r="AB22" i="21" a="1"/>
  <c r="I31" i="21"/>
  <c r="AF30" i="21" a="1"/>
  <c r="G13" i="21"/>
  <c r="J9" i="21" a="1"/>
  <c r="F8" i="21" a="1"/>
  <c r="H22" i="21"/>
  <c r="N8" i="21" a="1"/>
  <c r="N17" i="21"/>
  <c r="E10" i="21"/>
  <c r="E14" i="21"/>
  <c r="M21" i="21"/>
  <c r="I13" i="21"/>
  <c r="N12" i="21"/>
  <c r="AO26" i="21" a="1"/>
  <c r="AF24" i="21" a="1"/>
  <c r="AK31" i="21" a="1"/>
  <c r="V22" i="21" a="1"/>
  <c r="S14" i="21" a="1"/>
  <c r="D31" i="21"/>
  <c r="I35" i="21"/>
  <c r="W35" i="21" s="1" a="1"/>
  <c r="H35" i="21"/>
  <c r="L21" i="21"/>
  <c r="E17" i="21"/>
  <c r="M11" i="21"/>
  <c r="R31" i="21" a="1"/>
  <c r="H18" i="21"/>
  <c r="E22" i="21"/>
  <c r="K19" i="21"/>
  <c r="E35" i="21"/>
  <c r="L26" i="21"/>
  <c r="U22" i="21" a="1"/>
  <c r="O30" i="21"/>
  <c r="AC30" i="21" s="1" a="1"/>
  <c r="I34" i="21"/>
  <c r="K30" i="21"/>
  <c r="K24" i="21"/>
  <c r="G19" i="21"/>
  <c r="D33" i="21"/>
  <c r="J35" i="21"/>
  <c r="X35" i="21" s="1" a="1"/>
  <c r="K35" i="21"/>
  <c r="G30" i="21"/>
  <c r="N33" i="21"/>
  <c r="G29" i="21"/>
  <c r="AI29" i="21" s="1" a="1"/>
  <c r="O23" i="21"/>
  <c r="AQ23" i="21" s="1" a="1"/>
  <c r="K18" i="21"/>
  <c r="I32" i="21"/>
  <c r="AK32" i="21" s="1" a="1"/>
  <c r="K28" i="21"/>
  <c r="F34" i="21"/>
  <c r="AM30" i="21" a="1"/>
  <c r="O27" i="21"/>
  <c r="AK34" i="21" a="1"/>
  <c r="T29" i="21" a="1"/>
  <c r="O26" i="21"/>
  <c r="AQ26" i="21" s="1" a="1"/>
  <c r="I16" i="21"/>
  <c r="E11" i="21"/>
  <c r="R30" i="21" a="1"/>
  <c r="L25" i="21"/>
  <c r="K21" i="21"/>
  <c r="L17" i="21"/>
  <c r="AN17" i="21" s="1" a="1"/>
  <c r="AO32" i="21" a="1"/>
  <c r="D28" i="21"/>
  <c r="U25" i="21" a="1"/>
  <c r="AN21" i="21" a="1"/>
  <c r="G18" i="21"/>
  <c r="M30" i="21"/>
  <c r="M22" i="21"/>
  <c r="J19" i="21"/>
  <c r="AM28" i="21" a="1"/>
  <c r="N23" i="21"/>
  <c r="D18" i="21"/>
  <c r="O13" i="21"/>
  <c r="H8" i="21" a="1"/>
  <c r="I19" i="21"/>
  <c r="H25" i="21"/>
  <c r="U30" i="21" a="1"/>
  <c r="E21" i="21"/>
  <c r="N15" i="21"/>
  <c r="O11" i="21"/>
  <c r="Z25" i="21" a="1"/>
  <c r="J15" i="21"/>
  <c r="AK35" i="21" a="1"/>
  <c r="AM24" i="21" a="1"/>
  <c r="D21" i="21"/>
  <c r="S17" i="21" a="1"/>
  <c r="I25" i="21"/>
  <c r="W12" i="21" a="1"/>
  <c r="E23" i="21"/>
  <c r="N28" i="21"/>
  <c r="T34" i="21" a="1"/>
  <c r="I28" i="21"/>
  <c r="D23" i="21"/>
  <c r="R23" i="21" s="1" a="1"/>
  <c r="F19" i="21"/>
  <c r="D34" i="21"/>
  <c r="AB26" i="21" a="1"/>
  <c r="AM14" i="21" a="1"/>
  <c r="D8" i="21" a="1"/>
  <c r="AN25" i="21" a="1"/>
  <c r="O17" i="21"/>
  <c r="G9" i="21" a="1"/>
  <c r="W25" i="21" a="1"/>
  <c r="H15" i="21"/>
  <c r="E8" i="21" a="1"/>
  <c r="L9" i="21" a="1"/>
  <c r="J18" i="21"/>
  <c r="M10" i="21"/>
  <c r="N10" i="21"/>
  <c r="AL31" i="21" a="1"/>
  <c r="S21" i="21" a="1"/>
  <c r="O34" i="21"/>
  <c r="O32" i="21"/>
  <c r="K27" i="21"/>
  <c r="O31" i="21"/>
  <c r="AC31" i="21" s="1" a="1"/>
  <c r="K26" i="21"/>
  <c r="G21" i="21"/>
  <c r="W34" i="21" a="1"/>
  <c r="J30" i="21"/>
  <c r="AI25" i="21" a="1"/>
  <c r="W32" i="21" a="1"/>
  <c r="E25" i="21"/>
  <c r="J33" i="21"/>
  <c r="AQ31" i="21" a="1"/>
  <c r="AC27" i="21" a="1"/>
  <c r="AC23" i="21" a="1"/>
  <c r="D19" i="21"/>
  <c r="M13" i="21"/>
  <c r="E27" i="21"/>
  <c r="J23" i="21"/>
  <c r="L19" i="21"/>
  <c r="Y30" i="21" a="1"/>
  <c r="O20" i="21"/>
  <c r="K15" i="21"/>
  <c r="Y15" i="21" s="1" a="1"/>
  <c r="R28" i="21" a="1"/>
  <c r="F24" i="21"/>
  <c r="N20" i="21"/>
  <c r="AB20" i="21" s="1" a="1"/>
  <c r="AO17" i="21" a="1"/>
  <c r="AG25" i="21" a="1"/>
  <c r="O15" i="21"/>
  <c r="G11" i="21"/>
  <c r="L29" i="21"/>
  <c r="H9" i="21" a="1"/>
  <c r="O35" i="21"/>
  <c r="AC35" i="21" s="1" a="1"/>
  <c r="F26" i="21"/>
  <c r="R19" i="21" a="1"/>
  <c r="N13" i="21"/>
  <c r="L8" i="21" a="1"/>
  <c r="M28" i="21"/>
  <c r="L23" i="21"/>
  <c r="N19" i="21"/>
  <c r="H14" i="21"/>
  <c r="D9" i="21" a="1"/>
  <c r="D16" i="21"/>
  <c r="AF16" i="21" s="1" a="1"/>
  <c r="H30" i="21"/>
  <c r="AJ30" i="21" s="1" a="1"/>
  <c r="E32" i="21"/>
  <c r="G31" i="21"/>
  <c r="N21" i="21"/>
  <c r="AB21" i="21" s="1" a="1"/>
  <c r="E30" i="21"/>
  <c r="AN29" i="21" a="1"/>
  <c r="AM19" i="21" a="1"/>
  <c r="AA13" i="21" a="1"/>
  <c r="K10" i="21"/>
  <c r="AO11" i="21" a="1"/>
  <c r="H28" i="21"/>
  <c r="N14" i="21"/>
  <c r="D12" i="21"/>
  <c r="F12" i="21"/>
  <c r="T12" i="21" s="1" a="1"/>
  <c r="AJ14" i="21" a="1"/>
  <c r="G15" i="21"/>
  <c r="D10" i="21"/>
  <c r="J8" i="21" a="1"/>
  <c r="AA22" i="21" a="1"/>
  <c r="R18" i="21" a="1"/>
  <c r="AO28" i="21" a="1"/>
  <c r="AN23" i="21" a="1"/>
  <c r="S30" i="21" a="1"/>
  <c r="AJ28" i="21" a="1"/>
  <c r="G32" i="21"/>
  <c r="M35" i="21"/>
  <c r="F31" i="21"/>
  <c r="O25" i="21"/>
  <c r="K20" i="21"/>
  <c r="AM20" i="21" s="1" a="1"/>
  <c r="H34" i="21"/>
  <c r="O29" i="21"/>
  <c r="AC25" i="21" a="1"/>
  <c r="H32" i="21"/>
  <c r="V32" i="21" s="1" a="1"/>
  <c r="I24" i="21"/>
  <c r="W24" i="21" s="1" a="1"/>
  <c r="Y31" i="21" a="1"/>
  <c r="K23" i="21"/>
  <c r="AM23" i="21" s="1" a="1"/>
  <c r="I18" i="21"/>
  <c r="E13" i="21"/>
  <c r="S13" i="21" s="1" a="1"/>
  <c r="AB33" i="21" a="1"/>
  <c r="O22" i="21"/>
  <c r="AM18" i="21" a="1"/>
  <c r="K34" i="21"/>
  <c r="AM34" i="21" s="1" a="1"/>
  <c r="N30" i="21"/>
  <c r="AB30" i="21" s="1" a="1"/>
  <c r="AC26" i="21" a="1"/>
  <c r="I23" i="21"/>
  <c r="F20" i="21"/>
  <c r="O14" i="21"/>
  <c r="K32" i="21"/>
  <c r="AM32" i="21" s="1" a="1"/>
  <c r="S27" i="21" a="1"/>
  <c r="W23" i="21" a="1"/>
  <c r="E20" i="21"/>
  <c r="R35" i="21" a="1"/>
  <c r="S25" i="21" a="1"/>
  <c r="Y20" i="21" a="1"/>
  <c r="D15" i="21"/>
  <c r="R15" i="21" s="1" a="1"/>
  <c r="J10" i="21"/>
  <c r="AC34" i="21" a="1"/>
  <c r="M24" i="21"/>
  <c r="H17" i="21"/>
  <c r="D13" i="21"/>
  <c r="AF13" i="21" s="1" a="1"/>
  <c r="M9" i="21" a="1"/>
  <c r="AG17" i="21" a="1"/>
  <c r="AL28" i="21" a="1"/>
  <c r="AO13" i="21" a="1"/>
  <c r="F32" i="21"/>
  <c r="AH32" i="21" s="1" a="1"/>
  <c r="I33" i="21"/>
  <c r="AK33" i="21" s="1" a="1"/>
  <c r="H31" i="21"/>
  <c r="V31" i="21" s="1" a="1"/>
  <c r="F30" i="21"/>
  <c r="T30" i="21" s="1" a="1"/>
  <c r="F25" i="21"/>
  <c r="AH25" i="21" s="1" a="1"/>
  <c r="AN20" i="21" a="1"/>
  <c r="H29" i="21"/>
  <c r="V29" i="21" s="1" a="1"/>
  <c r="X29" i="21" a="1"/>
  <c r="AA23" i="21" a="1"/>
  <c r="AB19" i="21" a="1"/>
  <c r="AC15" i="21" a="1"/>
  <c r="R13" i="21" a="1"/>
  <c r="O9" i="21" a="1"/>
  <c r="L11" i="21"/>
  <c r="AH24" i="21" a="1"/>
  <c r="M12" i="21"/>
  <c r="K11" i="21"/>
  <c r="AI11" i="21" a="1"/>
  <c r="AC11" i="21" a="1"/>
  <c r="J27" i="21"/>
  <c r="AB14" i="21" a="1"/>
  <c r="O8" i="21" a="1"/>
  <c r="AP19" i="21" a="1"/>
  <c r="AF12" i="21" a="1"/>
  <c r="S20" i="21" a="1"/>
  <c r="AA26" i="21" a="1"/>
  <c r="Y32" i="21" a="1"/>
  <c r="AQ35" i="21" a="1"/>
  <c r="R24" i="21" a="1"/>
  <c r="T32" i="21" a="1"/>
  <c r="R16" i="21" a="1"/>
  <c r="W31" i="21" a="1"/>
  <c r="AP21" i="21" a="1"/>
  <c r="AJ29" i="21" a="1"/>
  <c r="AJ22" i="21" a="1"/>
  <c r="AH12" i="21" a="1"/>
  <c r="AG14" i="21" a="1"/>
  <c r="K29" i="21"/>
  <c r="Y29" i="21" s="1" a="1"/>
  <c r="H27" i="21"/>
  <c r="V27" i="21" s="1" a="1"/>
  <c r="E31" i="21"/>
  <c r="I30" i="21"/>
  <c r="N25" i="21"/>
  <c r="I10" i="21"/>
  <c r="H24" i="21"/>
  <c r="AH31" i="21" a="1"/>
  <c r="AI21" i="21" a="1"/>
  <c r="O33" i="21"/>
  <c r="AM21" i="21" a="1"/>
  <c r="Z26" i="21" a="1"/>
  <c r="I17" i="21"/>
  <c r="G8" i="21" a="1"/>
  <c r="M18" i="21"/>
  <c r="AA18" i="21" s="1" a="1"/>
  <c r="AL19" i="21" a="1"/>
  <c r="H10" i="21"/>
  <c r="G12" i="21"/>
  <c r="AK23" i="21" a="1"/>
  <c r="E16" i="21"/>
  <c r="D20" i="21"/>
  <c r="AQ19" i="21" a="1"/>
  <c r="D32" i="21"/>
  <c r="AF32" i="21" s="1" a="1"/>
  <c r="AQ30" i="21" a="1"/>
  <c r="AO24" i="21" a="1"/>
  <c r="T16" i="21" a="1"/>
  <c r="R21" i="21" a="1"/>
  <c r="AP15" i="21" a="1"/>
  <c r="K9" i="21" a="1"/>
  <c r="W16" i="21" a="1"/>
  <c r="AK12" i="21" a="1"/>
  <c r="AI14" i="21" a="1"/>
  <c r="V25" i="21" a="1"/>
  <c r="S32" i="21" a="1"/>
  <c r="AF34" i="21" a="1"/>
  <c r="AQ17" i="21" a="1"/>
  <c r="V15" i="21" a="1"/>
  <c r="AI15" i="21" a="1"/>
  <c r="AK13" i="21" a="1"/>
  <c r="AP12" i="21" a="1"/>
  <c r="E33" i="21"/>
  <c r="AG33" i="21" s="1" a="1"/>
  <c r="F27" i="21"/>
  <c r="K17" i="21"/>
  <c r="AC22" i="21" a="1"/>
  <c r="AM29" i="21" a="1"/>
  <c r="N35" i="21"/>
  <c r="AJ18" i="21" a="1"/>
  <c r="U14" i="21" a="1"/>
  <c r="AL12" i="21" a="1"/>
  <c r="AG35" i="21" a="1"/>
  <c r="AG16" i="21" a="1"/>
  <c r="AI31" i="21" a="1"/>
  <c r="AL18" i="21" a="1"/>
  <c r="L35" i="21"/>
  <c r="E28" i="21"/>
  <c r="AJ24" i="21" a="1"/>
  <c r="AA11" i="21" a="1"/>
  <c r="J14" i="21"/>
  <c r="G10" i="21"/>
  <c r="AM31" i="21" a="1"/>
  <c r="AB13" i="21" a="1"/>
  <c r="D25" i="21"/>
  <c r="AA28" i="21" a="1"/>
  <c r="X27" i="21" a="1"/>
  <c r="AQ34" i="21" a="1"/>
  <c r="E15" i="21"/>
  <c r="S15" i="21" s="1" a="1"/>
  <c r="AK24" i="21" a="1"/>
  <c r="AL30" i="21" a="1"/>
  <c r="S22" i="21" a="1"/>
  <c r="Z17" i="21" a="1"/>
  <c r="F9" i="21" a="1"/>
  <c r="H13" i="21"/>
  <c r="AL27" i="21" a="1"/>
  <c r="N31" i="21"/>
  <c r="Y24" i="21" a="1"/>
  <c r="D22" i="21"/>
  <c r="AC14" i="21" a="1"/>
  <c r="J22" i="21"/>
  <c r="H26" i="21"/>
  <c r="M16" i="21"/>
  <c r="L16" i="21"/>
  <c r="AN16" i="21" s="1" a="1"/>
  <c r="AG30" i="21" a="1"/>
  <c r="U15" i="21" a="1"/>
  <c r="O28" i="21"/>
  <c r="AC28" i="21" s="1" a="1"/>
  <c r="G23" i="21"/>
  <c r="AI30" i="21" a="1"/>
  <c r="N29" i="21"/>
  <c r="M34" i="21"/>
  <c r="J24" i="21"/>
  <c r="G35" i="21"/>
  <c r="U35" i="21" s="1" a="1"/>
  <c r="G20" i="21"/>
  <c r="L31" i="21"/>
  <c r="Z31" i="21" s="1" a="1"/>
  <c r="J21" i="21"/>
  <c r="M29" i="21"/>
  <c r="AA29" i="21" s="1" a="1"/>
  <c r="I21" i="21"/>
  <c r="AK21" i="21" s="1" a="1"/>
  <c r="G26" i="21"/>
  <c r="H16" i="21"/>
  <c r="AC32" i="21" a="1"/>
  <c r="AL35" i="21" a="1"/>
  <c r="I9" i="21" a="1"/>
  <c r="O10" i="21"/>
  <c r="Y23" i="21" a="1"/>
  <c r="L15" i="21"/>
  <c r="Z15" i="21" s="1" a="1"/>
  <c r="F17" i="21"/>
  <c r="AH17" i="21" s="1" a="1"/>
  <c r="AB35" i="21" a="1"/>
  <c r="AB31" i="21" a="1"/>
  <c r="I22" i="21"/>
  <c r="AA30" i="21" a="1"/>
  <c r="O24" i="21"/>
  <c r="AQ24" i="21" s="1" a="1"/>
  <c r="J16" i="21"/>
  <c r="H11" i="21"/>
  <c r="W19" i="21" a="1"/>
  <c r="AC13" i="21" a="1"/>
  <c r="D14" i="21"/>
  <c r="AQ15" i="21" a="1"/>
  <c r="J11" i="21"/>
  <c r="R14" i="21" a="1"/>
  <c r="AP30" i="21" a="1"/>
  <c r="AO22" i="21" a="1"/>
  <c r="AO18" i="21" a="1"/>
  <c r="Z23" i="21" a="1"/>
  <c r="T17" i="21" a="1"/>
  <c r="AJ31" i="21" a="1"/>
  <c r="R34" i="21" a="1"/>
  <c r="J26" i="21"/>
  <c r="U19" i="21" a="1"/>
  <c r="T27" i="21" a="1"/>
  <c r="V18" i="21" a="1"/>
  <c r="N18" i="21"/>
  <c r="E24" i="21"/>
  <c r="H12" i="21"/>
  <c r="W21" i="21" a="1"/>
  <c r="K16" i="21"/>
  <c r="AM16" i="21" s="1" a="1"/>
  <c r="I8" i="21" a="1"/>
  <c r="AB24" i="21" a="1"/>
  <c r="AA12" i="21" a="1"/>
  <c r="AA21" i="21" a="1"/>
  <c r="J32" i="21"/>
  <c r="G16" i="21"/>
  <c r="U11" i="21" a="1"/>
  <c r="S31" i="21" a="1"/>
  <c r="AA32" i="21" a="1"/>
  <c r="M20" i="21"/>
  <c r="AK16" i="21" a="1"/>
  <c r="W33" i="21" a="1"/>
  <c r="AO20" i="21" a="1"/>
  <c r="L33" i="21"/>
  <c r="AL24" i="21" a="1"/>
  <c r="X24" i="21" a="1"/>
  <c r="E9" i="21" a="1"/>
  <c r="AM15" i="21" a="1"/>
  <c r="Y27" i="21" a="1"/>
  <c r="L10" i="21"/>
  <c r="W28" i="21" a="1"/>
  <c r="AP17" i="21" a="1"/>
  <c r="AM27" i="21" a="1"/>
  <c r="E34" i="21"/>
  <c r="L32" i="21"/>
  <c r="D11" i="21"/>
  <c r="L24" i="21"/>
  <c r="G33" i="21"/>
  <c r="V23" i="21" a="1"/>
  <c r="AN31" i="21" a="1"/>
  <c r="AG32" i="21" a="1"/>
  <c r="W13" i="21" a="1"/>
  <c r="G28" i="21"/>
  <c r="K22" i="21"/>
  <c r="AM22" i="21" s="1" a="1"/>
  <c r="G27" i="21"/>
  <c r="U27" i="21" s="1" a="1"/>
  <c r="E29" i="21"/>
  <c r="S33" i="21" a="1"/>
  <c r="H20" i="21"/>
  <c r="AJ20" i="21" s="1" a="1"/>
  <c r="L34" i="21"/>
  <c r="AJ27" i="21" a="1"/>
  <c r="V20" i="21" a="1"/>
  <c r="AI19" i="21" a="1"/>
  <c r="AL23" i="21" a="1"/>
  <c r="AG13" i="21" a="1"/>
  <c r="F23" i="21"/>
  <c r="T31" i="21" a="1"/>
  <c r="AI27" i="21" a="1"/>
  <c r="H19" i="21"/>
  <c r="U21" i="21" a="1"/>
  <c r="L13" i="21"/>
  <c r="K13" i="21"/>
  <c r="L30" i="21"/>
  <c r="AN30" i="21" s="1" a="1"/>
  <c r="I29" i="21"/>
  <c r="T20" i="21" a="1"/>
  <c r="AM35" i="21" a="1"/>
  <c r="F15" i="21"/>
  <c r="M8" i="21" a="1"/>
  <c r="AH19" i="21" a="1"/>
  <c r="J13" i="21"/>
  <c r="I11" i="21"/>
  <c r="W11" i="21" s="1" a="1"/>
  <c r="AJ11" i="21" a="1"/>
  <c r="AP20" i="21" a="1"/>
  <c r="AG21" i="21" a="1"/>
  <c r="V30" i="21" a="1"/>
  <c r="R32" i="21" a="1"/>
  <c r="T25" i="21" a="1"/>
  <c r="AJ26" i="21" a="1"/>
  <c r="Y16" i="21" a="1"/>
  <c r="AK11" i="21" a="1"/>
  <c r="AB12" i="21" a="1"/>
  <c r="O21" i="21"/>
  <c r="N32" i="21"/>
  <c r="AF19" i="21" a="1"/>
  <c r="F13" i="21"/>
  <c r="AQ14" i="21" a="1"/>
  <c r="AI20" i="21" a="1"/>
  <c r="AF20" i="21" a="1"/>
  <c r="X33" i="21" a="1"/>
  <c r="AG15" i="21" a="1"/>
  <c r="M14" i="21"/>
  <c r="V14" i="21" a="1"/>
  <c r="AK27" i="21" a="1"/>
  <c r="S24" i="21" a="1"/>
  <c r="AG23" i="21" a="1"/>
  <c r="V26" i="21" a="1"/>
  <c r="X13" i="21" a="1"/>
  <c r="AO21" i="21" a="1"/>
  <c r="M15" i="21"/>
  <c r="K25" i="21"/>
  <c r="F21" i="21"/>
  <c r="U20" i="21" a="1"/>
  <c r="K8" i="21" a="1"/>
  <c r="L18" i="21"/>
  <c r="Z18" i="21" s="1" a="1"/>
  <c r="I15" i="21"/>
  <c r="S11" i="21" a="1"/>
  <c r="AI35" i="21" a="1"/>
  <c r="AN15" i="21" a="1"/>
  <c r="R25" i="21" a="1"/>
  <c r="L28" i="21"/>
  <c r="F28" i="21"/>
  <c r="F35" i="21"/>
  <c r="U18" i="21" a="1"/>
  <c r="AG11" i="21" a="1"/>
  <c r="N27" i="21"/>
  <c r="AB27" i="21" s="1" a="1"/>
  <c r="F33" i="21"/>
  <c r="H33" i="21"/>
  <c r="AJ33" i="21" s="1" a="1"/>
  <c r="E19" i="21"/>
  <c r="AG19" i="21" s="1" a="1"/>
  <c r="X31" i="21" a="1"/>
  <c r="AP27" i="21" a="1"/>
  <c r="AA20" i="21" a="1"/>
  <c r="S19" i="21" a="1"/>
  <c r="K33" i="21"/>
  <c r="D26" i="21"/>
  <c r="AL33" i="21" a="1"/>
  <c r="AP26" i="21" a="1"/>
  <c r="F11" i="21"/>
  <c r="L22" i="21"/>
  <c r="Z22" i="21" s="1" a="1"/>
  <c r="AA31" i="21" a="1"/>
  <c r="J17" i="21"/>
  <c r="AH26" i="21" a="1"/>
  <c r="AL15" i="21" a="1"/>
  <c r="AO29" i="21" a="1"/>
  <c r="AN22" i="21" a="1"/>
  <c r="AJ15" i="21" a="1"/>
  <c r="AI32" i="21" a="1"/>
  <c r="Y35" i="21" a="1"/>
  <c r="AQ25" i="21" a="1"/>
  <c r="I26" i="21"/>
  <c r="AK26" i="21" s="1" a="1"/>
  <c r="D29" i="21"/>
  <c r="M19" i="21"/>
  <c r="AQ28" i="21" a="1"/>
  <c r="D17" i="21"/>
  <c r="D27" i="21"/>
  <c r="O16" i="21"/>
  <c r="J25" i="21"/>
  <c r="O18" i="21"/>
  <c r="T22" i="21" a="1"/>
  <c r="K12" i="21"/>
  <c r="N16" i="21"/>
  <c r="U29" i="21" a="1"/>
  <c r="Y14" i="21" a="1"/>
  <c r="Y22" i="21" a="1"/>
  <c r="AJ32" i="21" a="1"/>
  <c r="N11" i="21"/>
  <c r="F10" i="21"/>
  <c r="AA35" i="21" a="1"/>
  <c r="L27" i="21"/>
  <c r="Y18" i="21" a="1"/>
  <c r="U32" i="21" a="1"/>
  <c r="H21" i="21"/>
  <c r="L14" i="21"/>
  <c r="F14" i="21"/>
  <c r="AF15" i="21" a="1"/>
  <c r="X15" i="21" a="1"/>
  <c r="AI13" i="21" a="1"/>
  <c r="AN11" i="21" a="1"/>
  <c r="E12" i="21"/>
  <c r="O12" i="21"/>
  <c r="W27" i="21" a="1"/>
  <c r="S35" i="21" a="1"/>
  <c r="AP24" i="21" a="1"/>
  <c r="AG24" i="21" a="1"/>
  <c r="S16" i="21" a="1"/>
  <c r="S23" i="21" a="1"/>
  <c r="U31" i="21" a="1"/>
  <c r="AN18" i="21" a="1"/>
  <c r="AC24" i="21" a="1"/>
  <c r="V33" i="21" a="1"/>
  <c r="AO12" i="21" a="1"/>
  <c r="AL13" i="21" a="1"/>
  <c r="X18" i="21" a="1"/>
  <c r="M25" i="21"/>
  <c r="V35" i="21" a="1"/>
  <c r="F18" i="21"/>
  <c r="AN26" i="21" a="1"/>
  <c r="I20" i="21"/>
  <c r="T26" i="21" a="1"/>
  <c r="AQ13" i="21" a="1"/>
  <c r="U12" i="21" a="1"/>
  <c r="AF18" i="21" a="1"/>
  <c r="AH30" i="21" a="1"/>
  <c r="AB17" i="21" a="1"/>
  <c r="G34" i="21"/>
  <c r="N34" i="21"/>
  <c r="J34" i="21"/>
  <c r="M27" i="21"/>
  <c r="E26" i="21"/>
  <c r="V24" i="21" a="1"/>
  <c r="E18" i="21"/>
  <c r="Y11" i="21" a="1"/>
  <c r="Z21" i="21" a="1"/>
  <c r="Y34" i="21" a="1"/>
  <c r="Z30" i="21" a="1"/>
  <c r="V28" i="21" a="1"/>
  <c r="AF25" i="21" a="1"/>
  <c r="AQ32" i="21" a="1"/>
  <c r="I14" i="21"/>
  <c r="G24" i="21"/>
  <c r="AA17" i="21" a="1"/>
  <c r="J20" i="21"/>
  <c r="G17" i="21"/>
  <c r="AI22" i="21" a="1"/>
  <c r="L12" i="21"/>
  <c r="AF23" i="21" a="1"/>
  <c r="W26" i="21" a="1"/>
  <c r="AJ25" i="21" a="1"/>
  <c r="AK28" i="21" a="1"/>
  <c r="AC17" i="21" a="1"/>
  <c r="Z16" i="21" a="1"/>
  <c r="R33" i="21" a="1"/>
  <c r="AP23" i="21" a="1"/>
  <c r="AB28" i="21" a="1"/>
  <c r="AM26" i="21" a="1"/>
  <c r="Y26" i="21" a="1"/>
  <c r="AN19" i="21" a="1"/>
  <c r="AC20" i="21" a="1"/>
  <c r="AJ34" i="21" a="1"/>
  <c r="V34" i="21" a="1"/>
  <c r="AC29" i="21" a="1"/>
  <c r="AK18" i="21" a="1"/>
  <c r="W18" i="21" a="1"/>
  <c r="V17" i="21" a="1"/>
  <c r="AK30" i="21" a="1"/>
  <c r="W30" i="21" a="1"/>
  <c r="AP25" i="21" a="1"/>
  <c r="AQ33" i="21" a="1"/>
  <c r="W17" i="21" a="1"/>
  <c r="AM17" i="21" a="1"/>
  <c r="Y17" i="21" a="1"/>
  <c r="Z35" i="21" a="1"/>
  <c r="AN35" i="21" a="1"/>
  <c r="AG28" i="21" a="1"/>
  <c r="X14" i="21" a="1"/>
  <c r="AJ13" i="21" a="1"/>
  <c r="V13" i="21" a="1"/>
  <c r="AF22" i="21" a="1"/>
  <c r="R22" i="21" a="1"/>
  <c r="X22" i="21" a="1"/>
  <c r="AA16" i="21" a="1"/>
  <c r="AO16" i="21" a="1"/>
  <c r="U23" i="21" a="1"/>
  <c r="AI23" i="21" a="1"/>
  <c r="AB29" i="21" a="1"/>
  <c r="AO34" i="21" a="1"/>
  <c r="AL21" i="21" a="1"/>
  <c r="U26" i="21" a="1"/>
  <c r="AI26" i="21" a="1"/>
  <c r="V16" i="21" a="1"/>
  <c r="AJ16" i="21" a="1"/>
  <c r="W22" i="21" a="1"/>
  <c r="X16" i="21" a="1"/>
  <c r="AL16" i="21" a="1"/>
  <c r="X11" i="21" a="1"/>
  <c r="AL11" i="21" a="1"/>
  <c r="X26" i="21" a="1"/>
  <c r="AL26" i="21" a="1"/>
  <c r="AP18" i="21" a="1"/>
  <c r="AJ12" i="21" a="1"/>
  <c r="V12" i="21" a="1"/>
  <c r="AL32" i="21" a="1"/>
  <c r="AI16" i="21" a="1"/>
  <c r="U16" i="21" a="1"/>
  <c r="AN33" i="21" a="1"/>
  <c r="AG34" i="21" a="1"/>
  <c r="S34" i="21" a="1"/>
  <c r="Z32" i="21" a="1"/>
  <c r="AF11" i="21" a="1"/>
  <c r="Z24" i="21" a="1"/>
  <c r="AN24" i="21" a="1"/>
  <c r="AI33" i="21" a="1"/>
  <c r="U33" i="21" a="1"/>
  <c r="U28" i="21" a="1"/>
  <c r="AI28" i="21" a="1"/>
  <c r="S29" i="21" a="1"/>
  <c r="AN34" i="21" a="1"/>
  <c r="AH23" i="21" a="1"/>
  <c r="T23" i="21" a="1"/>
  <c r="V19" i="21" a="1"/>
  <c r="AN13" i="21" a="1"/>
  <c r="AM13" i="21" a="1"/>
  <c r="W29" i="21" a="1"/>
  <c r="AK29" i="21" a="1"/>
  <c r="T15" i="21" a="1"/>
  <c r="AQ21" i="21" a="1"/>
  <c r="AC21" i="21" a="1"/>
  <c r="AP32" i="21" a="1"/>
  <c r="AB32" i="21" a="1"/>
  <c r="AH13" i="21" a="1"/>
  <c r="T13" i="21" a="1"/>
  <c r="AA14" i="21" a="1"/>
  <c r="AO14" i="21" a="1"/>
  <c r="AA15" i="21" a="1"/>
  <c r="AO15" i="21" a="1"/>
  <c r="Y25" i="21" a="1"/>
  <c r="AM25" i="21" a="1"/>
  <c r="AH21" i="21" a="1"/>
  <c r="AK15" i="21" a="1"/>
  <c r="Z28" i="21" a="1"/>
  <c r="AN28" i="21" a="1"/>
  <c r="AH28" i="21" a="1"/>
  <c r="AH35" i="21" a="1"/>
  <c r="T35" i="21" a="1"/>
  <c r="T33" i="21" a="1"/>
  <c r="AH33" i="21" a="1"/>
  <c r="Y33" i="21" a="1"/>
  <c r="AM33" i="21" a="1"/>
  <c r="R26" i="21" a="1"/>
  <c r="AH11" i="21" a="1"/>
  <c r="T11" i="21" a="1"/>
  <c r="X17" i="21" a="1"/>
  <c r="AL17" i="21" a="1"/>
  <c r="AF29" i="21" a="1"/>
  <c r="AO19" i="21" a="1"/>
  <c r="AA19" i="21" a="1"/>
  <c r="AF17" i="21" a="1"/>
  <c r="R17" i="21" a="1"/>
  <c r="AF27" i="21" a="1"/>
  <c r="AQ16" i="21" a="1"/>
  <c r="AC16" i="21" a="1"/>
  <c r="X25" i="21" a="1"/>
  <c r="AL25" i="21" a="1"/>
  <c r="AC18" i="21" a="1"/>
  <c r="Y12" i="21" a="1"/>
  <c r="AM12" i="21" a="1"/>
  <c r="AB16" i="21" a="1"/>
  <c r="AP16" i="21" a="1"/>
  <c r="AB11" i="21" a="1"/>
  <c r="Z27" i="21" a="1"/>
  <c r="AN27" i="21" a="1"/>
  <c r="V21" i="21" a="1"/>
  <c r="AJ21" i="21" a="1"/>
  <c r="AN14" i="21" a="1"/>
  <c r="AH14" i="21" a="1"/>
  <c r="T14" i="21" a="1"/>
  <c r="S12" i="21" a="1"/>
  <c r="AG12" i="21" a="1"/>
  <c r="AQ12" i="21" a="1"/>
  <c r="AC12" i="21" a="1"/>
  <c r="AO25" i="21" a="1"/>
  <c r="AA25" i="21" a="1"/>
  <c r="T18" i="21" a="1"/>
  <c r="AK20" i="21" a="1"/>
  <c r="W20" i="21" a="1"/>
  <c r="U34" i="21" a="1"/>
  <c r="AI34" i="21" a="1"/>
  <c r="AP34" i="21" a="1"/>
  <c r="AB34" i="21" a="1"/>
  <c r="X34" i="21" a="1"/>
  <c r="AL34" i="21" a="1"/>
  <c r="AO27" i="21" a="1"/>
  <c r="S26" i="21" a="1"/>
  <c r="AG26" i="21" a="1"/>
  <c r="AG18" i="21" a="1"/>
  <c r="S18" i="21" a="1"/>
  <c r="W14" i="21" a="1"/>
  <c r="AK14" i="21" a="1"/>
  <c r="AI24" i="21" a="1"/>
  <c r="U24" i="21" a="1"/>
  <c r="X20" i="21" a="1"/>
  <c r="AI17" i="21" a="1"/>
  <c r="U17" i="21" a="1"/>
  <c r="Z12" i="21" a="1"/>
  <c r="AR35" i="21" a="1"/>
  <c r="AD35" i="21" a="1"/>
  <c r="AR27" i="21" a="1"/>
  <c r="AD27" i="21" a="1"/>
  <c r="AR19" i="21" a="1"/>
  <c r="AD19" i="21" a="1"/>
  <c r="AR11" i="21" a="1"/>
  <c r="AD11" i="21" a="1"/>
  <c r="AR16" i="21" a="1"/>
  <c r="AD16" i="21" a="1"/>
  <c r="AR23" i="21" a="1"/>
  <c r="AD23" i="21" a="1"/>
  <c r="AR30" i="21" a="1"/>
  <c r="AD30" i="21" a="1"/>
  <c r="AR29" i="21" a="1"/>
  <c r="AD29" i="21" a="1"/>
  <c r="AR34" i="21" a="1"/>
  <c r="AD34" i="21" a="1"/>
  <c r="AR26" i="21" a="1"/>
  <c r="AD26" i="21" a="1"/>
  <c r="AR18" i="21" a="1"/>
  <c r="AD18" i="21" a="1"/>
  <c r="AR25" i="21" a="1"/>
  <c r="AD25" i="21" a="1"/>
  <c r="AR17" i="21" a="1"/>
  <c r="AD17" i="21" a="1"/>
  <c r="AR24" i="21" a="1"/>
  <c r="AD24" i="21" a="1"/>
  <c r="AR14" i="21" a="1"/>
  <c r="AD14" i="21" a="1"/>
  <c r="AR21" i="21" a="1"/>
  <c r="AD21" i="21" a="1"/>
  <c r="AR33" i="21" a="1"/>
  <c r="AD33" i="21" a="1"/>
  <c r="AR15" i="21" a="1"/>
  <c r="AD15" i="21" a="1"/>
  <c r="AR22" i="21" a="1"/>
  <c r="AD22" i="21" a="1"/>
  <c r="AR32" i="21" a="1"/>
  <c r="AD32" i="21" a="1"/>
  <c r="AR31" i="21" a="1"/>
  <c r="AD31" i="21" a="1"/>
  <c r="AR28" i="21" a="1"/>
  <c r="AD28" i="21" a="1"/>
  <c r="AR20" i="21" a="1"/>
  <c r="AD20" i="21" a="1"/>
  <c r="AR12" i="21" a="1"/>
  <c r="AD12" i="21" a="1"/>
  <c r="AR13" i="21" a="1"/>
  <c r="AD13" i="21" a="1"/>
  <c r="AR13" i="21" l="1"/>
  <c r="W11" i="3" s="1"/>
  <c r="AJ11" i="3" s="1"/>
  <c r="AR12" i="21"/>
  <c r="W10" i="3" s="1"/>
  <c r="AJ10" i="3" s="1"/>
  <c r="AR20" i="21"/>
  <c r="W18" i="3" s="1"/>
  <c r="AJ18" i="3" s="1"/>
  <c r="AR28" i="21"/>
  <c r="AR31" i="21"/>
  <c r="AR32" i="21"/>
  <c r="AR22" i="21"/>
  <c r="W20" i="3" s="1"/>
  <c r="AJ20" i="3" s="1"/>
  <c r="AR15" i="21"/>
  <c r="W13" i="3" s="1"/>
  <c r="AJ13" i="3" s="1"/>
  <c r="AR33" i="21"/>
  <c r="AR21" i="21"/>
  <c r="W19" i="3" s="1"/>
  <c r="AJ19" i="3" s="1"/>
  <c r="AR14" i="21"/>
  <c r="W12" i="3" s="1"/>
  <c r="AJ12" i="3" s="1"/>
  <c r="AR24" i="21"/>
  <c r="W22" i="3" s="1"/>
  <c r="AJ22" i="3" s="1"/>
  <c r="AR17" i="21"/>
  <c r="W15" i="3" s="1"/>
  <c r="AJ15" i="3" s="1"/>
  <c r="AR25" i="21"/>
  <c r="W23" i="3" s="1"/>
  <c r="AJ23" i="3" s="1"/>
  <c r="AR18" i="21"/>
  <c r="W16" i="3" s="1"/>
  <c r="AJ16" i="3" s="1"/>
  <c r="AR26" i="21"/>
  <c r="AR34" i="21"/>
  <c r="AR29" i="21"/>
  <c r="AR30" i="21"/>
  <c r="AR23" i="21"/>
  <c r="W21" i="3" s="1"/>
  <c r="AJ21" i="3" s="1"/>
  <c r="AR16" i="21"/>
  <c r="W14" i="3" s="1"/>
  <c r="AJ14" i="3" s="1"/>
  <c r="AR11" i="21"/>
  <c r="W9" i="3" s="1"/>
  <c r="AJ9" i="3" s="1"/>
  <c r="AR19" i="21"/>
  <c r="W17" i="3" s="1"/>
  <c r="AJ17" i="3" s="1"/>
  <c r="AR27" i="21"/>
  <c r="AR35" i="21"/>
  <c r="AD13" i="21"/>
  <c r="V11" i="3" s="1"/>
  <c r="AI11" i="3" s="1"/>
  <c r="AD12" i="21"/>
  <c r="V10" i="3" s="1"/>
  <c r="AI10" i="3" s="1"/>
  <c r="AD20" i="21"/>
  <c r="V18" i="3" s="1"/>
  <c r="AI18" i="3" s="1"/>
  <c r="AD28" i="21"/>
  <c r="AD31" i="21"/>
  <c r="AD32" i="21"/>
  <c r="AD22" i="21"/>
  <c r="V20" i="3" s="1"/>
  <c r="AI20" i="3" s="1"/>
  <c r="AD15" i="21"/>
  <c r="V13" i="3" s="1"/>
  <c r="AI13" i="3" s="1"/>
  <c r="AD33" i="21"/>
  <c r="AD21" i="21"/>
  <c r="V19" i="3" s="1"/>
  <c r="AI19" i="3" s="1"/>
  <c r="AD14" i="21"/>
  <c r="V12" i="3" s="1"/>
  <c r="AI12" i="3" s="1"/>
  <c r="AD24" i="21"/>
  <c r="V22" i="3" s="1"/>
  <c r="AI22" i="3" s="1"/>
  <c r="AD17" i="21"/>
  <c r="V15" i="3" s="1"/>
  <c r="AI15" i="3" s="1"/>
  <c r="AD25" i="21"/>
  <c r="V23" i="3" s="1"/>
  <c r="AI23" i="3" s="1"/>
  <c r="AD18" i="21"/>
  <c r="V16" i="3" s="1"/>
  <c r="AI16" i="3" s="1"/>
  <c r="AD26" i="21"/>
  <c r="AD34" i="21"/>
  <c r="AD29" i="21"/>
  <c r="AD30" i="21"/>
  <c r="AD23" i="21"/>
  <c r="V21" i="3" s="1"/>
  <c r="AI21" i="3" s="1"/>
  <c r="AD16" i="21"/>
  <c r="V14" i="3" s="1"/>
  <c r="AI14" i="3" s="1"/>
  <c r="AD11" i="21"/>
  <c r="V9" i="3" s="1"/>
  <c r="AI9" i="3" s="1"/>
  <c r="AD19" i="21"/>
  <c r="V17" i="3" s="1"/>
  <c r="AI17" i="3" s="1"/>
  <c r="AD27" i="21"/>
  <c r="AD35" i="21"/>
  <c r="P8" i="21"/>
  <c r="P9" i="21"/>
  <c r="AD9" i="21" s="1"/>
  <c r="AR9" i="21" s="1"/>
  <c r="V13" i="21"/>
  <c r="AJ13" i="21"/>
  <c r="AB12" i="21"/>
  <c r="AP12" i="21"/>
  <c r="AN16" i="21"/>
  <c r="Z16" i="21"/>
  <c r="AF25" i="21"/>
  <c r="Y23" i="3" s="1"/>
  <c r="AL23" i="3" s="1"/>
  <c r="R25" i="21"/>
  <c r="X23" i="3" s="1"/>
  <c r="AK23" i="3" s="1"/>
  <c r="AC12" i="21"/>
  <c r="AQ12" i="21"/>
  <c r="X18" i="21"/>
  <c r="AL18" i="21"/>
  <c r="AK11" i="21"/>
  <c r="W11" i="21"/>
  <c r="AK13" i="21"/>
  <c r="W13" i="21"/>
  <c r="AL11" i="21"/>
  <c r="X11" i="21"/>
  <c r="S19" i="21"/>
  <c r="AG19" i="21"/>
  <c r="AO21" i="21"/>
  <c r="AA21" i="21"/>
  <c r="S12" i="21"/>
  <c r="AG12" i="21"/>
  <c r="S14" i="21"/>
  <c r="AG14" i="21"/>
  <c r="AI15" i="21"/>
  <c r="U15" i="21"/>
  <c r="AL27" i="21"/>
  <c r="X27" i="21"/>
  <c r="AL13" i="21"/>
  <c r="X13" i="21"/>
  <c r="T12" i="21"/>
  <c r="Z10" i="3" s="1"/>
  <c r="AM10" i="3" s="1"/>
  <c r="AH12" i="21"/>
  <c r="AA10" i="3" s="1"/>
  <c r="AN10" i="3" s="1"/>
  <c r="AA14" i="21"/>
  <c r="AO14" i="21"/>
  <c r="V15" i="21"/>
  <c r="AJ15" i="21"/>
  <c r="AP17" i="21"/>
  <c r="AB17" i="21"/>
  <c r="AO16" i="21"/>
  <c r="AA16" i="21"/>
  <c r="AO12" i="21"/>
  <c r="AA12" i="21"/>
  <c r="Y16" i="21"/>
  <c r="AM16" i="21"/>
  <c r="AQ17" i="21"/>
  <c r="AC17" i="21"/>
  <c r="V22" i="21"/>
  <c r="AJ22" i="21"/>
  <c r="AJ28" i="21"/>
  <c r="V28" i="21"/>
  <c r="AJ33" i="21"/>
  <c r="V33" i="21"/>
  <c r="T14" i="21"/>
  <c r="Z12" i="3" s="1"/>
  <c r="AM12" i="3" s="1"/>
  <c r="AH14" i="21"/>
  <c r="AA12" i="3" s="1"/>
  <c r="AN12" i="3" s="1"/>
  <c r="AL16" i="21"/>
  <c r="X16" i="21"/>
  <c r="AL17" i="21"/>
  <c r="X17" i="21"/>
  <c r="S18" i="21"/>
  <c r="AG18" i="21"/>
  <c r="AA20" i="21"/>
  <c r="AO20" i="21"/>
  <c r="AJ21" i="21"/>
  <c r="V21" i="21"/>
  <c r="AQ24" i="21"/>
  <c r="AC24" i="21"/>
  <c r="V26" i="21"/>
  <c r="AJ26" i="21"/>
  <c r="R34" i="21"/>
  <c r="X32" i="3" s="1"/>
  <c r="AK32" i="3" s="1"/>
  <c r="AF34" i="21"/>
  <c r="Y32" i="3" s="1"/>
  <c r="AL32" i="3" s="1"/>
  <c r="V29" i="21"/>
  <c r="AJ29" i="21"/>
  <c r="S30" i="21"/>
  <c r="AG30" i="21"/>
  <c r="T33" i="21"/>
  <c r="Z31" i="3" s="1"/>
  <c r="AM31" i="3" s="1"/>
  <c r="AH33" i="21"/>
  <c r="AA31" i="3" s="1"/>
  <c r="AN31" i="3" s="1"/>
  <c r="AN18" i="21"/>
  <c r="Z18" i="21"/>
  <c r="AB21" i="21"/>
  <c r="AP21" i="21"/>
  <c r="AH25" i="21"/>
  <c r="AA23" i="3" s="1"/>
  <c r="AN23" i="3" s="1"/>
  <c r="T25" i="21"/>
  <c r="Z23" i="3" s="1"/>
  <c r="AM23" i="3" s="1"/>
  <c r="Z27" i="21"/>
  <c r="AN27" i="21"/>
  <c r="AK28" i="21"/>
  <c r="W28" i="21"/>
  <c r="AK29" i="21"/>
  <c r="W29" i="21"/>
  <c r="T30" i="21"/>
  <c r="Z28" i="3" s="1"/>
  <c r="AM28" i="3" s="1"/>
  <c r="AH30" i="21"/>
  <c r="AA28" i="3" s="1"/>
  <c r="AN28" i="3" s="1"/>
  <c r="U31" i="21"/>
  <c r="AI31" i="21"/>
  <c r="AF32" i="21"/>
  <c r="Y30" i="3" s="1"/>
  <c r="AL30" i="3" s="1"/>
  <c r="R32" i="21"/>
  <c r="X30" i="3" s="1"/>
  <c r="AK30" i="3" s="1"/>
  <c r="U33" i="21"/>
  <c r="AI33" i="21"/>
  <c r="V31" i="21"/>
  <c r="AJ31" i="21"/>
  <c r="S32" i="21"/>
  <c r="AG32" i="21"/>
  <c r="AN30" i="21"/>
  <c r="Z30" i="21"/>
  <c r="AK31" i="21"/>
  <c r="W31" i="21"/>
  <c r="AK33" i="21"/>
  <c r="W33" i="21"/>
  <c r="S23" i="21"/>
  <c r="AG23" i="21"/>
  <c r="AJ30" i="21"/>
  <c r="V30" i="21"/>
  <c r="AF16" i="21"/>
  <c r="Y14" i="3" s="1"/>
  <c r="AL14" i="3" s="1"/>
  <c r="R16" i="21"/>
  <c r="X14" i="3" s="1"/>
  <c r="AK14" i="3" s="1"/>
  <c r="AH17" i="21"/>
  <c r="AA15" i="3" s="1"/>
  <c r="AN15" i="3" s="1"/>
  <c r="T17" i="21"/>
  <c r="Z15" i="3" s="1"/>
  <c r="AM15" i="3" s="1"/>
  <c r="Z22" i="21"/>
  <c r="AN22" i="21"/>
  <c r="AB27" i="21"/>
  <c r="AP27" i="21"/>
  <c r="AH32" i="21"/>
  <c r="AA30" i="3" s="1"/>
  <c r="AN30" i="3" s="1"/>
  <c r="T32" i="21"/>
  <c r="Z30" i="3" s="1"/>
  <c r="AM30" i="3" s="1"/>
  <c r="Z15" i="21"/>
  <c r="AN15" i="21"/>
  <c r="S16" i="21"/>
  <c r="AG16" i="21"/>
  <c r="U17" i="21"/>
  <c r="AI17" i="21"/>
  <c r="W20" i="21"/>
  <c r="AK20" i="21"/>
  <c r="AN23" i="21"/>
  <c r="Z23" i="21"/>
  <c r="AN24" i="21"/>
  <c r="Z24" i="21"/>
  <c r="AG26" i="21"/>
  <c r="S26" i="21"/>
  <c r="AF24" i="21"/>
  <c r="Y22" i="3" s="1"/>
  <c r="AL22" i="3" s="1"/>
  <c r="R24" i="21"/>
  <c r="X22" i="3" s="1"/>
  <c r="AK22" i="3" s="1"/>
  <c r="AO28" i="21"/>
  <c r="AA28" i="21"/>
  <c r="AG24" i="21"/>
  <c r="S24" i="21"/>
  <c r="S21" i="21"/>
  <c r="AG21" i="21"/>
  <c r="AC35" i="21"/>
  <c r="AQ35" i="21"/>
  <c r="AA18" i="21"/>
  <c r="AO18" i="21"/>
  <c r="V25" i="21"/>
  <c r="AJ25" i="21"/>
  <c r="T23" i="21"/>
  <c r="Z21" i="3" s="1"/>
  <c r="AM21" i="3" s="1"/>
  <c r="AH23" i="21"/>
  <c r="AA21" i="3" s="1"/>
  <c r="AN21" i="3" s="1"/>
  <c r="AJ16" i="21"/>
  <c r="V16" i="21"/>
  <c r="R18" i="21"/>
  <c r="X16" i="3" s="1"/>
  <c r="AK16" i="3" s="1"/>
  <c r="AF18" i="21"/>
  <c r="Y16" i="3" s="1"/>
  <c r="AL16" i="3" s="1"/>
  <c r="AP24" i="21"/>
  <c r="AB24" i="21"/>
  <c r="AB20" i="21"/>
  <c r="AP20" i="21"/>
  <c r="R22" i="21"/>
  <c r="X20" i="3" s="1"/>
  <c r="AK20" i="3" s="1"/>
  <c r="AF22" i="21"/>
  <c r="Y20" i="3" s="1"/>
  <c r="AL20" i="3" s="1"/>
  <c r="AA22" i="21"/>
  <c r="AO22" i="21"/>
  <c r="AA29" i="21"/>
  <c r="AO29" i="21"/>
  <c r="AL31" i="21"/>
  <c r="X31" i="21"/>
  <c r="AM32" i="21"/>
  <c r="Y32" i="21"/>
  <c r="AL34" i="21"/>
  <c r="X34" i="21"/>
  <c r="S35" i="21"/>
  <c r="AG35" i="21"/>
  <c r="AM25" i="21"/>
  <c r="Y25" i="21"/>
  <c r="AO26" i="21"/>
  <c r="AA26" i="21"/>
  <c r="AB30" i="21"/>
  <c r="AP30" i="21"/>
  <c r="Z31" i="21"/>
  <c r="AN31" i="21"/>
  <c r="AM34" i="21"/>
  <c r="Y34" i="21"/>
  <c r="T35" i="21"/>
  <c r="Z33" i="3" s="1"/>
  <c r="AM33" i="3" s="1"/>
  <c r="AH35" i="21"/>
  <c r="AA33" i="3" s="1"/>
  <c r="AN33" i="3" s="1"/>
  <c r="U35" i="21"/>
  <c r="AI35" i="21"/>
  <c r="W27" i="21"/>
  <c r="AK27" i="21"/>
  <c r="AB32" i="21"/>
  <c r="AP32" i="21"/>
  <c r="S34" i="21"/>
  <c r="AG34" i="21"/>
  <c r="AB34" i="21"/>
  <c r="AP34" i="21"/>
  <c r="AK26" i="21"/>
  <c r="W26" i="21"/>
  <c r="S15" i="21"/>
  <c r="S20" i="21"/>
  <c r="J8" i="21"/>
  <c r="U12" i="21"/>
  <c r="W14" i="21"/>
  <c r="I8" i="21"/>
  <c r="AJ11" i="21"/>
  <c r="AF12" i="21"/>
  <c r="Y10" i="3" s="1"/>
  <c r="AL10" i="3" s="1"/>
  <c r="AM13" i="21"/>
  <c r="R14" i="21"/>
  <c r="X12" i="3" s="1"/>
  <c r="AK12" i="3" s="1"/>
  <c r="AI14" i="21"/>
  <c r="AI16" i="21"/>
  <c r="R17" i="21"/>
  <c r="X15" i="3" s="1"/>
  <c r="AK15" i="3" s="1"/>
  <c r="AN17" i="21"/>
  <c r="AP19" i="21"/>
  <c r="W22" i="21"/>
  <c r="V14" i="21"/>
  <c r="AN14" i="21"/>
  <c r="W17" i="21"/>
  <c r="AK12" i="21"/>
  <c r="AL15" i="21"/>
  <c r="Y15" i="21"/>
  <c r="O8" i="21"/>
  <c r="S11" i="21"/>
  <c r="AL12" i="21"/>
  <c r="S13" i="21"/>
  <c r="AH13" i="21"/>
  <c r="AA11" i="3" s="1"/>
  <c r="AN11" i="3" s="1"/>
  <c r="AB14" i="21"/>
  <c r="AQ15" i="21"/>
  <c r="AQ16" i="21"/>
  <c r="AF17" i="21"/>
  <c r="Y15" i="3" s="1"/>
  <c r="AL15" i="3" s="1"/>
  <c r="V19" i="21"/>
  <c r="Z21" i="21"/>
  <c r="AP23" i="21"/>
  <c r="AJ14" i="21"/>
  <c r="AK16" i="21"/>
  <c r="AN11" i="21"/>
  <c r="T15" i="21"/>
  <c r="Z13" i="3" s="1"/>
  <c r="AM13" i="3" s="1"/>
  <c r="L9" i="21"/>
  <c r="Z9" i="21" s="1"/>
  <c r="AN9" i="21" s="1"/>
  <c r="U16" i="21"/>
  <c r="AC11" i="21"/>
  <c r="V12" i="21"/>
  <c r="W16" i="21"/>
  <c r="AF23" i="21"/>
  <c r="Y21" i="3" s="1"/>
  <c r="AL21" i="3" s="1"/>
  <c r="E8" i="21"/>
  <c r="F9" i="21"/>
  <c r="T9" i="21" s="1"/>
  <c r="AH9" i="21" s="1"/>
  <c r="AI11" i="21"/>
  <c r="Z12" i="21"/>
  <c r="AI13" i="21"/>
  <c r="AB16" i="21"/>
  <c r="AM17" i="21"/>
  <c r="AK21" i="21"/>
  <c r="U24" i="21"/>
  <c r="K9" i="21"/>
  <c r="Y9" i="21" s="1"/>
  <c r="AM9" i="21" s="1"/>
  <c r="W25" i="21"/>
  <c r="Y11" i="21"/>
  <c r="AN13" i="21"/>
  <c r="AK15" i="21"/>
  <c r="AB11" i="21"/>
  <c r="AB13" i="21"/>
  <c r="X15" i="21"/>
  <c r="AP16" i="21"/>
  <c r="Y17" i="21"/>
  <c r="R26" i="21"/>
  <c r="X24" i="3" s="1"/>
  <c r="AK24" i="3" s="1"/>
  <c r="N8" i="21"/>
  <c r="AC13" i="21"/>
  <c r="AP15" i="21"/>
  <c r="AH26" i="21"/>
  <c r="AA24" i="3" s="1"/>
  <c r="AN24" i="3" s="1"/>
  <c r="G9" i="21"/>
  <c r="U9" i="21" s="1"/>
  <c r="AI9" i="21" s="1"/>
  <c r="T11" i="21"/>
  <c r="Z9" i="3" s="1"/>
  <c r="AM9" i="3" s="1"/>
  <c r="AF15" i="21"/>
  <c r="Y13" i="3" s="1"/>
  <c r="AL13" i="3" s="1"/>
  <c r="AH19" i="21"/>
  <c r="AA17" i="3" s="1"/>
  <c r="AN17" i="3" s="1"/>
  <c r="AH24" i="21"/>
  <c r="AA22" i="3" s="1"/>
  <c r="AN22" i="3" s="1"/>
  <c r="W19" i="21"/>
  <c r="R21" i="21"/>
  <c r="X19" i="3" s="1"/>
  <c r="AK19" i="3" s="1"/>
  <c r="V23" i="21"/>
  <c r="AN25" i="21"/>
  <c r="F8" i="21"/>
  <c r="AO11" i="21"/>
  <c r="T13" i="21"/>
  <c r="Z11" i="3" s="1"/>
  <c r="AM11" i="3" s="1"/>
  <c r="AG15" i="21"/>
  <c r="D8" i="21"/>
  <c r="M8" i="21"/>
  <c r="J9" i="21"/>
  <c r="X9" i="21" s="1"/>
  <c r="AL9" i="21" s="1"/>
  <c r="O9" i="21"/>
  <c r="AC9" i="21" s="1"/>
  <c r="AQ9" i="21" s="1"/>
  <c r="AH11" i="21"/>
  <c r="AA9" i="3" s="1"/>
  <c r="AN9" i="3" s="1"/>
  <c r="Y12" i="21"/>
  <c r="AJ12" i="21"/>
  <c r="R13" i="21"/>
  <c r="X11" i="3" s="1"/>
  <c r="AK11" i="3" s="1"/>
  <c r="AA13" i="21"/>
  <c r="AQ13" i="21"/>
  <c r="U14" i="21"/>
  <c r="AM14" i="21"/>
  <c r="R15" i="21"/>
  <c r="X13" i="3" s="1"/>
  <c r="AK13" i="3" s="1"/>
  <c r="AC15" i="21"/>
  <c r="AO15" i="21"/>
  <c r="T16" i="21"/>
  <c r="Z14" i="3" s="1"/>
  <c r="AM14" i="3" s="1"/>
  <c r="V17" i="21"/>
  <c r="AP18" i="21"/>
  <c r="AB19" i="21"/>
  <c r="AM19" i="21"/>
  <c r="W21" i="21"/>
  <c r="AH21" i="21"/>
  <c r="AA19" i="3" s="1"/>
  <c r="AN19" i="3" s="1"/>
  <c r="AQ21" i="21"/>
  <c r="R23" i="21"/>
  <c r="X21" i="3" s="1"/>
  <c r="AK21" i="3" s="1"/>
  <c r="AA23" i="21"/>
  <c r="AM23" i="21"/>
  <c r="AO24" i="21"/>
  <c r="AB26" i="21"/>
  <c r="Y27" i="21"/>
  <c r="AO27" i="21"/>
  <c r="X29" i="21"/>
  <c r="AN29" i="21"/>
  <c r="AM31" i="21"/>
  <c r="U32" i="21"/>
  <c r="X33" i="21"/>
  <c r="AM35" i="21"/>
  <c r="AB28" i="21"/>
  <c r="AA30" i="21"/>
  <c r="AQ30" i="21"/>
  <c r="AA31" i="21"/>
  <c r="Z32" i="21"/>
  <c r="AG33" i="21"/>
  <c r="AN34" i="21"/>
  <c r="Z35" i="21"/>
  <c r="Y18" i="21"/>
  <c r="AJ18" i="21"/>
  <c r="T20" i="21"/>
  <c r="Z18" i="3" s="1"/>
  <c r="AM18" i="3" s="1"/>
  <c r="AC20" i="21"/>
  <c r="AN20" i="21"/>
  <c r="X22" i="21"/>
  <c r="AI22" i="21"/>
  <c r="U23" i="21"/>
  <c r="AQ23" i="21"/>
  <c r="AL25" i="21"/>
  <c r="T26" i="21"/>
  <c r="Z24" i="3" s="1"/>
  <c r="AM24" i="3" s="1"/>
  <c r="AF27" i="21"/>
  <c r="Y25" i="3" s="1"/>
  <c r="AL25" i="3" s="1"/>
  <c r="AC29" i="21"/>
  <c r="AB31" i="21"/>
  <c r="T34" i="21"/>
  <c r="Z32" i="3" s="1"/>
  <c r="AM32" i="3" s="1"/>
  <c r="V24" i="21"/>
  <c r="AF30" i="21"/>
  <c r="Y28" i="3" s="1"/>
  <c r="AL28" i="3" s="1"/>
  <c r="AA32" i="21"/>
  <c r="AA35" i="21"/>
  <c r="AF20" i="21"/>
  <c r="Y18" i="3" s="1"/>
  <c r="AL18" i="3" s="1"/>
  <c r="U34" i="21"/>
  <c r="AB35" i="21"/>
  <c r="AQ19" i="21"/>
  <c r="AI24" i="21"/>
  <c r="AI26" i="21"/>
  <c r="AG28" i="21"/>
  <c r="K8" i="21"/>
  <c r="AF11" i="21"/>
  <c r="Y9" i="3" s="1"/>
  <c r="AL9" i="3" s="1"/>
  <c r="W12" i="21"/>
  <c r="X14" i="21"/>
  <c r="AK14" i="21"/>
  <c r="AF29" i="21"/>
  <c r="Y27" i="3" s="1"/>
  <c r="AL27" i="3" s="1"/>
  <c r="D9" i="21"/>
  <c r="R9" i="21" s="1"/>
  <c r="AF9" i="21" s="1"/>
  <c r="AM12" i="21"/>
  <c r="AF13" i="21"/>
  <c r="Y11" i="3" s="1"/>
  <c r="AL11" i="3" s="1"/>
  <c r="AO13" i="21"/>
  <c r="S17" i="21"/>
  <c r="Z17" i="21"/>
  <c r="T18" i="21"/>
  <c r="Z16" i="3" s="1"/>
  <c r="AM16" i="3" s="1"/>
  <c r="AC18" i="21"/>
  <c r="X20" i="21"/>
  <c r="AI20" i="21"/>
  <c r="U21" i="21"/>
  <c r="AB22" i="21"/>
  <c r="AM22" i="21"/>
  <c r="Y23" i="21"/>
  <c r="AK23" i="21"/>
  <c r="AM24" i="21"/>
  <c r="Y26" i="21"/>
  <c r="AL28" i="21"/>
  <c r="AK30" i="21"/>
  <c r="S31" i="21"/>
  <c r="AJ32" i="21"/>
  <c r="AK35" i="21"/>
  <c r="X25" i="21"/>
  <c r="AC14" i="21"/>
  <c r="AM15" i="21"/>
  <c r="AC16" i="21"/>
  <c r="AG17" i="21"/>
  <c r="AK18" i="21"/>
  <c r="U20" i="21"/>
  <c r="Y22" i="21"/>
  <c r="Z25" i="21"/>
  <c r="AI27" i="21"/>
  <c r="AC31" i="21"/>
  <c r="M9" i="21"/>
  <c r="AA9" i="21" s="1"/>
  <c r="AO9" i="21" s="1"/>
  <c r="L8" i="21"/>
  <c r="I9" i="21"/>
  <c r="W9" i="21" s="1"/>
  <c r="AK9" i="21" s="1"/>
  <c r="AG11" i="21"/>
  <c r="Y14" i="21"/>
  <c r="AQ14" i="21"/>
  <c r="AA15" i="21"/>
  <c r="R19" i="21"/>
  <c r="X17" i="3" s="1"/>
  <c r="AK17" i="3" s="1"/>
  <c r="AA19" i="21"/>
  <c r="AL19" i="21"/>
  <c r="S22" i="21"/>
  <c r="AN26" i="21"/>
  <c r="U29" i="21"/>
  <c r="AM29" i="21"/>
  <c r="U30" i="21"/>
  <c r="T31" i="21"/>
  <c r="Z29" i="3" s="1"/>
  <c r="AM29" i="3" s="1"/>
  <c r="AQ33" i="21"/>
  <c r="AC34" i="21"/>
  <c r="AL35" i="21"/>
  <c r="AL21" i="21"/>
  <c r="AO34" i="21"/>
  <c r="H9" i="21"/>
  <c r="V9" i="21" s="1"/>
  <c r="AJ9" i="21" s="1"/>
  <c r="U11" i="21"/>
  <c r="W24" i="21"/>
  <c r="U26" i="21"/>
  <c r="AC32" i="21"/>
  <c r="G8" i="21"/>
  <c r="H8" i="21"/>
  <c r="E9" i="21"/>
  <c r="S9" i="21" s="1"/>
  <c r="AG9" i="21" s="1"/>
  <c r="N9" i="21"/>
  <c r="AB9" i="21" s="1"/>
  <c r="AP9" i="21" s="1"/>
  <c r="AA11" i="21"/>
  <c r="AG13" i="21"/>
  <c r="AA17" i="21"/>
  <c r="U18" i="21"/>
  <c r="Y20" i="21"/>
  <c r="AJ20" i="21"/>
  <c r="T22" i="21"/>
  <c r="Z20" i="3" s="1"/>
  <c r="AM20" i="3" s="1"/>
  <c r="AC22" i="21"/>
  <c r="AL23" i="21"/>
  <c r="S25" i="21"/>
  <c r="AG25" i="21"/>
  <c r="Z26" i="21"/>
  <c r="AP26" i="21"/>
  <c r="AM28" i="21"/>
  <c r="AL30" i="21"/>
  <c r="AK32" i="21"/>
  <c r="R35" i="21"/>
  <c r="X33" i="3" s="1"/>
  <c r="AK33" i="3" s="1"/>
  <c r="AO17" i="21"/>
  <c r="V18" i="21"/>
  <c r="AI19" i="21"/>
  <c r="AN19" i="21"/>
  <c r="AM21" i="21"/>
  <c r="U22" i="21"/>
  <c r="W23" i="21"/>
  <c r="X24" i="21"/>
  <c r="AJ24" i="21"/>
  <c r="AO25" i="21"/>
  <c r="AQ26" i="21"/>
  <c r="S27" i="21"/>
  <c r="R28" i="21"/>
  <c r="X26" i="3" s="1"/>
  <c r="AK26" i="3" s="1"/>
  <c r="Z28" i="21"/>
  <c r="AH28" i="21"/>
  <c r="AA26" i="3" s="1"/>
  <c r="AN26" i="3" s="1"/>
  <c r="W30" i="21"/>
  <c r="V32" i="21"/>
  <c r="AL33" i="21"/>
  <c r="AI34" i="21"/>
  <c r="AC19" i="21"/>
  <c r="V20" i="21"/>
  <c r="AI21" i="21"/>
  <c r="AN21" i="21"/>
  <c r="AI23" i="21"/>
  <c r="AK24" i="21"/>
  <c r="U25" i="21"/>
  <c r="AA25" i="21"/>
  <c r="AC26" i="21"/>
  <c r="AL26" i="21"/>
  <c r="T27" i="21"/>
  <c r="Z25" i="3" s="1"/>
  <c r="AM25" i="3" s="1"/>
  <c r="AJ27" i="21"/>
  <c r="Y29" i="21"/>
  <c r="AI29" i="21"/>
  <c r="Y30" i="21"/>
  <c r="AH31" i="21"/>
  <c r="AA29" i="3" s="1"/>
  <c r="AN29" i="3" s="1"/>
  <c r="AO32" i="21"/>
  <c r="R33" i="21"/>
  <c r="X31" i="3" s="1"/>
  <c r="AK31" i="3" s="1"/>
  <c r="AA33" i="21"/>
  <c r="AJ34" i="21"/>
  <c r="V35" i="21"/>
  <c r="W18" i="21"/>
  <c r="AM18" i="21"/>
  <c r="AF19" i="21"/>
  <c r="Y17" i="3" s="1"/>
  <c r="AL17" i="3" s="1"/>
  <c r="AO19" i="21"/>
  <c r="AC21" i="21"/>
  <c r="Y24" i="21"/>
  <c r="AL24" i="21"/>
  <c r="AP25" i="21"/>
  <c r="X26" i="21"/>
  <c r="AQ28" i="21"/>
  <c r="S29" i="21"/>
  <c r="R30" i="21"/>
  <c r="X28" i="3" s="1"/>
  <c r="AK28" i="3" s="1"/>
  <c r="R31" i="21"/>
  <c r="X29" i="3" s="1"/>
  <c r="AK29" i="3" s="1"/>
  <c r="AB33" i="21"/>
  <c r="AM33" i="21"/>
  <c r="U19" i="21"/>
  <c r="AM20" i="21"/>
  <c r="AC23" i="21"/>
  <c r="AM26" i="21"/>
  <c r="U27" i="21"/>
  <c r="AC27" i="21"/>
  <c r="U28" i="21"/>
  <c r="T29" i="21"/>
  <c r="Z27" i="3" s="1"/>
  <c r="AM27" i="3" s="1"/>
  <c r="AB29" i="21"/>
  <c r="Y31" i="21"/>
  <c r="AQ31" i="21"/>
  <c r="S33" i="21"/>
  <c r="AK34" i="21"/>
  <c r="W35" i="21"/>
  <c r="AL32" i="21"/>
  <c r="AN33" i="21"/>
  <c r="V34" i="21"/>
  <c r="X35" i="21"/>
  <c r="V27" i="21"/>
  <c r="AI28" i="21"/>
  <c r="AN28" i="21"/>
  <c r="AM30" i="21"/>
  <c r="W32" i="21"/>
  <c r="AQ32" i="21"/>
  <c r="Y33" i="21"/>
  <c r="AN35" i="21"/>
  <c r="AC25" i="21"/>
  <c r="AI25" i="21"/>
  <c r="AQ25" i="21"/>
  <c r="AC28" i="21"/>
  <c r="AI30" i="21"/>
  <c r="W34" i="21"/>
  <c r="AQ34" i="21"/>
  <c r="Y35" i="21"/>
  <c r="AM27" i="21"/>
  <c r="AC30" i="21"/>
  <c r="AI32" i="21"/>
  <c r="AN12" i="21" a="1"/>
  <c r="R29" i="21" a="1"/>
  <c r="AJ19" i="21" a="1"/>
  <c r="AF14" i="21" a="1"/>
  <c r="AL14" i="21" a="1"/>
  <c r="AB25" i="21" a="1"/>
  <c r="AQ22" i="21" a="1"/>
  <c r="AQ20" i="21" a="1"/>
  <c r="AF21" i="21" a="1"/>
  <c r="AF28" i="21" a="1"/>
  <c r="AG22" i="21" a="1"/>
  <c r="Z20" i="21" a="1"/>
  <c r="AF35" i="21" a="1"/>
  <c r="AN32" i="21" a="1"/>
  <c r="AJ17" i="21" a="1"/>
  <c r="Y28" i="21" a="1"/>
  <c r="AP29" i="21" a="1"/>
  <c r="AP13" i="21" a="1"/>
  <c r="AH16" i="21" a="1"/>
  <c r="AF33" i="21" a="1"/>
  <c r="AL20" i="21" a="1"/>
  <c r="AF26" i="21" a="1"/>
  <c r="Z34" i="21" a="1"/>
  <c r="V11" i="21" a="1"/>
  <c r="S28" i="21" a="1"/>
  <c r="AG31" i="21" a="1"/>
  <c r="AQ29" i="21" a="1"/>
  <c r="Z19" i="21" a="1"/>
  <c r="AQ11" i="21" a="1"/>
  <c r="Y21" i="21" a="1"/>
  <c r="AJ35" i="21" a="1"/>
  <c r="AJ23" i="21" a="1"/>
  <c r="AH22" i="21" a="1"/>
  <c r="Z14" i="21" a="1"/>
  <c r="AB23" i="21" a="1"/>
  <c r="AH15" i="21" a="1"/>
  <c r="X19" i="21" a="1"/>
  <c r="AA27" i="21" a="1"/>
  <c r="T28" i="21" a="1"/>
  <c r="AG29" i="21" a="1"/>
  <c r="AK22" i="21" a="1"/>
  <c r="AP35" i="21" a="1"/>
  <c r="AM11" i="21" a="1"/>
  <c r="AO35" i="21" a="1"/>
  <c r="X23" i="21" a="1"/>
  <c r="AB15" i="21" a="1"/>
  <c r="AQ27" i="21" a="1"/>
  <c r="AF31" i="21" a="1"/>
  <c r="AP22" i="21" a="1"/>
  <c r="AH18" i="21" a="1"/>
  <c r="W15" i="21" a="1"/>
  <c r="R11" i="21" a="1"/>
  <c r="X21" i="21" a="1"/>
  <c r="AH27" i="21" a="1"/>
  <c r="Z11" i="21" a="1"/>
  <c r="R12" i="21" a="1"/>
  <c r="AG27" i="21" a="1"/>
  <c r="AK19" i="21" a="1"/>
  <c r="U13" i="21" a="1"/>
  <c r="AA34" i="21" a="1"/>
  <c r="R20" i="21" a="1"/>
  <c r="X30" i="21" a="1"/>
  <c r="X28" i="21" a="1"/>
  <c r="AI12" i="21" a="1"/>
  <c r="AA24" i="21" a="1"/>
  <c r="AP33" i="21" a="1"/>
  <c r="AO23" i="21" a="1"/>
  <c r="AH34" i="21" a="1"/>
  <c r="AP11" i="21" a="1"/>
  <c r="AQ18" i="21" a="1"/>
  <c r="Y13" i="21" a="1"/>
  <c r="X32" i="21" a="1"/>
  <c r="AL22" i="21" a="1"/>
  <c r="AK17" i="21" a="1"/>
  <c r="AG20" i="21" a="1"/>
  <c r="Z29" i="21" a="1"/>
  <c r="AP28" i="21" a="1"/>
  <c r="AO30" i="21" a="1"/>
  <c r="R27" i="21" a="1"/>
  <c r="Z13" i="21" a="1"/>
  <c r="AB18" i="21" a="1"/>
  <c r="AP31" i="21" a="1"/>
  <c r="AC33" i="21" a="1"/>
  <c r="AH20" i="21" a="1"/>
  <c r="T24" i="21" a="1"/>
  <c r="AK25" i="21" a="1"/>
  <c r="AI18" i="21" a="1"/>
  <c r="Y19" i="21" a="1"/>
  <c r="AL29" i="21" a="1"/>
  <c r="AO33" i="21" a="1"/>
  <c r="T21" i="21" a="1"/>
  <c r="AP14" i="21" a="1"/>
  <c r="X12" i="21" a="1"/>
  <c r="Z33" i="21" a="1"/>
  <c r="T19" i="21" a="1"/>
  <c r="AO31" i="21" a="1"/>
  <c r="AH29" i="21" a="1"/>
  <c r="AH29" i="21" l="1"/>
  <c r="AA27" i="3" s="1"/>
  <c r="AN27" i="3" s="1"/>
  <c r="AO31" i="21"/>
  <c r="T19" i="21"/>
  <c r="Z17" i="3" s="1"/>
  <c r="AM17" i="3" s="1"/>
  <c r="Z33" i="21"/>
  <c r="X12" i="21"/>
  <c r="AP14" i="21"/>
  <c r="T21" i="21"/>
  <c r="Z19" i="3" s="1"/>
  <c r="AM19" i="3" s="1"/>
  <c r="AO33" i="21"/>
  <c r="AL29" i="21"/>
  <c r="Y19" i="21"/>
  <c r="AI18" i="21"/>
  <c r="AK25" i="21"/>
  <c r="T24" i="21"/>
  <c r="Z22" i="3" s="1"/>
  <c r="AM22" i="3" s="1"/>
  <c r="AH20" i="21"/>
  <c r="AA18" i="3" s="1"/>
  <c r="AN18" i="3" s="1"/>
  <c r="AC33" i="21"/>
  <c r="AP31" i="21"/>
  <c r="AB18" i="21"/>
  <c r="Z13" i="21"/>
  <c r="R27" i="21"/>
  <c r="X25" i="3" s="1"/>
  <c r="AK25" i="3" s="1"/>
  <c r="AO30" i="21"/>
  <c r="AP28" i="21"/>
  <c r="Z29" i="21"/>
  <c r="AG20" i="21"/>
  <c r="AK17" i="21"/>
  <c r="AL22" i="21"/>
  <c r="X32" i="21"/>
  <c r="Y13" i="21"/>
  <c r="AQ18" i="21"/>
  <c r="AP11" i="21"/>
  <c r="AH34" i="21"/>
  <c r="AA32" i="3" s="1"/>
  <c r="AN32" i="3" s="1"/>
  <c r="AO23" i="21"/>
  <c r="AP33" i="21"/>
  <c r="AA24" i="21"/>
  <c r="AI12" i="21"/>
  <c r="X28" i="21"/>
  <c r="X30" i="21"/>
  <c r="R20" i="21"/>
  <c r="X18" i="3" s="1"/>
  <c r="AK18" i="3" s="1"/>
  <c r="AA34" i="21"/>
  <c r="U13" i="21"/>
  <c r="AK19" i="21"/>
  <c r="AG27" i="21"/>
  <c r="R12" i="21"/>
  <c r="X10" i="3" s="1"/>
  <c r="AK10" i="3" s="1"/>
  <c r="Z11" i="21"/>
  <c r="AH27" i="21"/>
  <c r="AA25" i="3" s="1"/>
  <c r="AN25" i="3" s="1"/>
  <c r="X21" i="21"/>
  <c r="R11" i="21"/>
  <c r="X9" i="3" s="1"/>
  <c r="AK9" i="3" s="1"/>
  <c r="W15" i="21"/>
  <c r="AH18" i="21"/>
  <c r="AA16" i="3" s="1"/>
  <c r="AN16" i="3" s="1"/>
  <c r="AP22" i="21"/>
  <c r="AF31" i="21"/>
  <c r="Y29" i="3" s="1"/>
  <c r="AL29" i="3" s="1"/>
  <c r="AQ27" i="21"/>
  <c r="AB15" i="21"/>
  <c r="X23" i="21"/>
  <c r="AO35" i="21"/>
  <c r="AM11" i="21"/>
  <c r="AP35" i="21"/>
  <c r="AK22" i="21"/>
  <c r="AG29" i="21"/>
  <c r="T28" i="21"/>
  <c r="Z26" i="3" s="1"/>
  <c r="AM26" i="3" s="1"/>
  <c r="AA27" i="21"/>
  <c r="X19" i="21"/>
  <c r="AH15" i="21"/>
  <c r="AA13" i="3" s="1"/>
  <c r="AN13" i="3" s="1"/>
  <c r="AB23" i="21"/>
  <c r="Z14" i="21"/>
  <c r="AH22" i="21"/>
  <c r="AA20" i="3" s="1"/>
  <c r="AN20" i="3" s="1"/>
  <c r="AJ23" i="21"/>
  <c r="AJ35" i="21"/>
  <c r="Y21" i="21"/>
  <c r="AQ11" i="21"/>
  <c r="Z19" i="21"/>
  <c r="AQ29" i="21"/>
  <c r="AG31" i="21"/>
  <c r="S28" i="21"/>
  <c r="V11" i="21"/>
  <c r="Z34" i="21"/>
  <c r="AF26" i="21"/>
  <c r="Y24" i="3" s="1"/>
  <c r="AL24" i="3" s="1"/>
  <c r="AL20" i="21"/>
  <c r="AF33" i="21"/>
  <c r="Y31" i="3" s="1"/>
  <c r="AL31" i="3" s="1"/>
  <c r="AH16" i="21"/>
  <c r="AA14" i="3" s="1"/>
  <c r="AN14" i="3" s="1"/>
  <c r="AP13" i="21"/>
  <c r="AP29" i="21"/>
  <c r="Y28" i="21"/>
  <c r="AJ17" i="21"/>
  <c r="AN32" i="21"/>
  <c r="AF35" i="21"/>
  <c r="Y33" i="3" s="1"/>
  <c r="Z20" i="21"/>
  <c r="AG22" i="21"/>
  <c r="AF28" i="21"/>
  <c r="Y26" i="3" s="1"/>
  <c r="AL26" i="3" s="1"/>
  <c r="AF21" i="21"/>
  <c r="Y19" i="3" s="1"/>
  <c r="AL19" i="3" s="1"/>
  <c r="AQ20" i="21"/>
  <c r="AQ22" i="21"/>
  <c r="AB25" i="21"/>
  <c r="AL14" i="21"/>
  <c r="AF14" i="21"/>
  <c r="Y12" i="3" s="1"/>
  <c r="AL12" i="3" s="1"/>
  <c r="AJ19" i="21"/>
  <c r="R29" i="21"/>
  <c r="X27" i="3" s="1"/>
  <c r="AK27" i="3" s="1"/>
  <c r="AN12" i="21"/>
  <c r="Y35" i="3" l="1"/>
  <c r="AL3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<sst xmlns="http://schemas.openxmlformats.org/spreadsheetml/2006/main" count="1379" uniqueCount="278">
  <si>
    <t>file: qsynth_0cost_swaps/small</t>
  </si>
  <si>
    <t>method: greedy</t>
  </si>
  <si>
    <t>submethod: 0</t>
  </si>
  <si>
    <t>mode: QC</t>
  </si>
  <si>
    <t>ixMin: 0</t>
  </si>
  <si>
    <t>ixMax: 0</t>
  </si>
  <si>
    <t>minDepth: 0</t>
  </si>
  <si>
    <t>wMax: 0</t>
  </si>
  <si>
    <t>hv: 1</t>
  </si>
  <si>
    <t>hr: 3</t>
  </si>
  <si>
    <t>hl: 1</t>
  </si>
  <si>
    <t>ht: 1</t>
  </si>
  <si>
    <t>hi: 1</t>
  </si>
  <si>
    <t>qMax: 1000</t>
  </si>
  <si>
    <t>astarRange: 0</t>
  </si>
  <si>
    <t xml:space="preserve">methodName: </t>
  </si>
  <si>
    <t>outfile: /Users/markwebster/Dropbox/QuantumComputing/dev/cliffordopt/examples/results/qsynth_0cost_swaps_small-greedy-hv1-hr3-l1-t1-i1-q1000-20260227-125725.txt</t>
  </si>
  <si>
    <t>#########################################</t>
  </si>
  <si>
    <t>04q_33936.qasm</t>
  </si>
  <si>
    <t>QPerm:3,0,1,2 H:0 H:1 HS:3 tZZ:2,3 tXY:1,3 tXX:0,2 tXY:3,0 tZZ:1,2</t>
  </si>
  <si>
    <t>05q_50494.qasm</t>
  </si>
  <si>
    <t>QPerm:2,4,1,3,0 HS:0 HS:1 HS:2 H:3 H:4 tZZ:3,4 tYY:2,4 tZY:0,2 tZY:4,1 tZX:1,2 tZY:1,3 tZY:0,1 tXZ:0,3</t>
  </si>
  <si>
    <t>04q_50494.qasm</t>
  </si>
  <si>
    <t>QPerm:1,3,0,2 HS:0 H:1 SH:2 HSH:3 tXX:1,2 tZX:0,2 tZY:1,0 tZZ:0,3</t>
  </si>
  <si>
    <t>05q_55125.qasm</t>
  </si>
  <si>
    <t>QPerm:4,2,3,1,0 SH:0 HS:1 HSH:2 H:3 tXX:2,3 tZY:1,2 tZX:1,0 tZZ:1,4 tXZ:1,3 tXX:0,3 tZX:0,2</t>
  </si>
  <si>
    <t>03q_50494.qasm</t>
  </si>
  <si>
    <t>QPerm:1,2,0 S:0 HSH:1 HS:2 tXY:2,0 tZX:1,2 tZX:0,1</t>
  </si>
  <si>
    <t>05q_33936.qasm</t>
  </si>
  <si>
    <t>QPerm:1,4,3,0,2 SH:1 SH:2 SH:3 S:4 tZY:0,2 tZY:0,1 tZX:0,3 tXY:4,3 tZX:4,0 tZX:1,4 tXY:3,1 tZX:1,2 tXX:0,2</t>
  </si>
  <si>
    <t>04q_99346.qasm</t>
  </si>
  <si>
    <t>HSH:0 S:1 H:2 tXY:0,2 tZX:3,2 tZZ:0,1 tZX:2,1 tXX:0,3</t>
  </si>
  <si>
    <t>03q_55125.qasm</t>
  </si>
  <si>
    <t>QPerm:2,1,0 SH:0 S:1 HSH:2 tYY:0,1 tZY:2,1 tZX:0,2</t>
  </si>
  <si>
    <t>03q_05306.qasm</t>
  </si>
  <si>
    <t>QPerm:1,2,0 HS:0 HSH:1 S:2 tZX:1,2 tXY:1,0</t>
  </si>
  <si>
    <t>04q_55125.qasm</t>
  </si>
  <si>
    <t>QPerm:3,2,0,1 S:0 SH:1 H:2 HS:3 tYY:0,2 tXY:2,3 tYY:1,3 tZY:3,0 tZX:2,1 tZZ:0,1</t>
  </si>
  <si>
    <t>03q_33936.qasm</t>
  </si>
  <si>
    <t>HSH:0 SH:2 tXY:2,1 tXY:2,0 tZX:1,0</t>
  </si>
  <si>
    <t>03q_99346.qasm</t>
  </si>
  <si>
    <t>QPerm:2,1,0 HSH:0 H:1 tZZ:1,2 tZZ:0,2 tXY:0,1</t>
  </si>
  <si>
    <t>05q_99346.qasm</t>
  </si>
  <si>
    <t>QPerm:0,1,4,3,2 S:0 HSH:1 S:2 SH:3 tZY:3,1 tZX:4,1 tXX:2,4 tYX:2,3 tZX:0,1 tYZ:0,3</t>
  </si>
  <si>
    <t>04q_05306.qasm</t>
  </si>
  <si>
    <t>QPerm:0,1,3,2 SH:0 S:1 SH:2 tZY:1,2 tXY:2,3 tZZ:0,2 tXY:0,1 tZY:3,0</t>
  </si>
  <si>
    <t>05q_05306.qasm</t>
  </si>
  <si>
    <t>QPerm:2,0,1,3,4 HS:0 H:2 HS:3 S:4 tXX:3,4 tZY:0,3 tZZ:2,4 tXY:0,4 tYX:2,3 tZY:1,4 tXY:1,3 tZX:0,3</t>
  </si>
  <si>
    <t>method: astar</t>
  </si>
  <si>
    <t>outfile: /Users/markwebster/Dropbox/QuantumComputing/dev/cliffordopt/examples/results/qsynth_0cost_swaps_small-astar-hv1-hr3-l1-t1-i1-q1000-20260227-130116.txt</t>
  </si>
  <si>
    <t>QPerm:1,2,0 S:0 HSH:1 HS:2 tYX:0,2 tXZ:2,1 tZX:0,1</t>
  </si>
  <si>
    <t>QPerm:1,3,0,2 HS:0 H:1 SH:2 HSH:3 tXX:1,2 tZX:0,2 tZY:1,0 tZZ:3,0</t>
  </si>
  <si>
    <t>QPerm:2,1,0 HSH:0 H:1 tZZ:2,0 tZZ:1,2 tXY:0,1</t>
  </si>
  <si>
    <t>QPerm:3,2,0,1 H:0 H:1 HS:3 tXY:2,3 tZZ:3,0 tXX:3,1 tZY:2,1 tZY:1,0</t>
  </si>
  <si>
    <t>QPerm:3,1,0,2 HSH:0 H:1 HS:2 HSH:3 tZZ:1,3 tYX:3,2 tXX:0,3 tXZ:1,0 tYY:1,2</t>
  </si>
  <si>
    <t>QPerm:0,1,3,2 SH:0 S:1 SH:2 tZY:1,2 tYX:3,2 tZZ:2,0 tXY:0,1 tZY:3,0</t>
  </si>
  <si>
    <t>HSH:0 SH:2 tYX:0,2 tXY:2,1 tXZ:0,1</t>
  </si>
  <si>
    <t>QPerm:1,2,0 HS:0 HSH:1 S:2 tXZ:2,1 tXY:1,0</t>
  </si>
  <si>
    <t>QPerm:0,1,4,3,2 S:0 HSH:1 S:2 SH:3 tYZ:1,3 tXZ:1,4 tZX:0,1 tXX:2,4 tYX:2,3 tYZ:0,3</t>
  </si>
  <si>
    <t>QPerm:3,1,4,2,0 HS:0 H:1 HS:2 H:3 HSH:4 tXY:4,0 tYY:2,4 tXZ:4,1 tYX:3,1 tZZ:1,2 tXZ:1,0 tYX:0,3</t>
  </si>
  <si>
    <t>QPerm:2,4,1,3,0 H:1 HS:2 SH:3 tZZ:1,2 tZY:4,0 tXX:3,1 tZY:0,3 tYX:0,2 tXY:0,1 tXZ:1,2</t>
  </si>
  <si>
    <t>QPerm:0,3,1,2,4 H:0 HSH:1 S:2 H:3 HSH:4 tZZ:2,0 tXY:1,2 tZY:3,0 tYZ:1,4 tXX:3,1 tXX:4,0 tYY:1,4 tYX:0,2</t>
  </si>
  <si>
    <t>QPerm:3,0,2,4,1 S:0 HS:1 H:3 S:4 tZZ:2,4 tXY:4,0 tYX:3,2 tXZ:3,1 tZY:0,3 tYZ:2,4 tXZ:2,3 tYY:1,4</t>
  </si>
  <si>
    <t>file: qsynth_0cost_swaps/large</t>
  </si>
  <si>
    <t>06q_33936.qasm</t>
  </si>
  <si>
    <t>QPerm:1,4,2,3,0,5 HS:0 H:1 S:3 H:4 HSH:5 tXZ:5,3 tXZ:1,4 tZY:2,1 tZZ:5,0 tYX:2,5 tZY:2,4 tXY:4,3 tZZ:1,3 tYY:4,0 tYY:1,0</t>
  </si>
  <si>
    <t>06q_55125.qasm</t>
  </si>
  <si>
    <t>QPerm:2,4,5,0,1,3 H:1 H:2 HS:4 SH:5 tZZ:0,1 tXY:1,2 tXX:5,1 tZY:3,0 tZX:5,3 tYX:2,5 tYX:1,4 tZZ:2,4 tXY:2,3 tYZ:0,2</t>
  </si>
  <si>
    <t>06q_99346.qasm</t>
  </si>
  <si>
    <t>QPerm:4,3,1,0,2,5 H:0 H:3 H:4 SH:5 tZZ:5,1 tXX:5,4 tYY:5,0 tZZ:1,0 tZX:2,1 tZY:0,2 tYX:3,0 tXZ:3,1 tXY:1,4 tZY:4,0 tXZ:5,1</t>
  </si>
  <si>
    <t>06q_50494.qasm</t>
  </si>
  <si>
    <t>QPerm:2,1,4,3,0,5 S:0 HS:1 H:2 S:3 S:4 HS:5 tZZ:1,4 tYX:0,2 tZZ:5,2 tXY:1,2 tZY:4,5 tXX:5,0 tXY:4,3 tXZ:3,1 tZY:4,0 tZY:2,4 tZZ:5,4</t>
  </si>
  <si>
    <t>06q_05306.qasm</t>
  </si>
  <si>
    <t>QPerm:2,5,4,1,0,3 H:0 H:1 SH:2 S:4 HSH:5 tZZ:3,0 tZX:3,4 tZY:1,0 tXX:1,3 tXZ:1,4 tXZ:2,1 tYX:4,5 tYY:5,2 tXZ:2,3 tXZ:5,0 tYY:0,3</t>
  </si>
  <si>
    <t>07q_55125.qasm</t>
  </si>
  <si>
    <t>QPerm:0,4,6,1,5,2,3 S:0 S:1 SH:2 HS:3 HSH:4 HS:5 SH:6 tZX:3,1 tYX:3,2 tZZ:1,4 tXZ:4,2 tZZ:5,2 tZX:4,5 tYY:2,6 tZZ:3,6 tZY:0,4 tXX:1,4 tZY:2,4 tXY:4,6 tYX:0,6</t>
  </si>
  <si>
    <t>07q_99346.qasm</t>
  </si>
  <si>
    <t>QPerm:3,2,4,6,0,1,5 HSH:0 H:3 HSH:4 S:5 H:6 tZZ:3,6 tYX:3,4 tYX:3,2 tXY:0,4 tYX:0,6 tYX:2,0 tZX:2,5 tXY:3,5 tXX:1,0 tZX:0,2 tZZ:2,1 tXX:0,4 tYZ:0,3 tXY:0,6</t>
  </si>
  <si>
    <t>07q_05306.qasm</t>
  </si>
  <si>
    <t>QPerm:4,0,3,5,2,6,1 HS:0 S:1 H:2 HS:3 H:4 H:5 HSH:6 tYZ:3,2 tZY:3,5 tZX:3,1 tYY:6,2 tXX:2,0 tZX:0,3 tZZ:6,4 tYZ:6,5 tZX:6,0 tXZ:5,3 tZY:5,4 tYZ:2,4 tXX:5,1 tYZ:1,2</t>
  </si>
  <si>
    <t>07q_33936.qasm</t>
  </si>
  <si>
    <t>QPerm:3,5,1,6,4,2,0 HS:0 SH:1 SH:2 S:3 HSH:5 S:6 tZY:6,0 tXY:5,3 tXX:4,3 tZZ:6,4 tZZ:5,2 tXY:6,2 tXZ:5,1 tZX:3,1 tZY:6,1 tXZ:2,5 tYZ:5,0 tZX:5,4 tYX:0,3 tXX:0,5</t>
  </si>
  <si>
    <t>07q_50494.qasm</t>
  </si>
  <si>
    <t>QPerm:6,4,3,0,1,5,2 S:1 S:2 HSH:3 H:5 H:6 tZX:3,0 tYZ:4,0 tZX:0,5 tZX:5,2 tXZ:1,4 tXY:4,3 tYY:5,4 tYX:2,3 tXY:6,0 tZZ:1,6 tXX:1,4 tXY:5,6 tZZ:3,6 tXZ:6,0</t>
  </si>
  <si>
    <t>Tool:</t>
  </si>
  <si>
    <t>tket</t>
  </si>
  <si>
    <t>qmap</t>
  </si>
  <si>
    <t>qsynth-f</t>
  </si>
  <si>
    <t>qsynth-b</t>
  </si>
  <si>
    <t>instance</t>
  </si>
  <si>
    <t>m</t>
  </si>
  <si>
    <t>t</t>
  </si>
  <si>
    <t>3q05306</t>
  </si>
  <si>
    <t>3q33936</t>
  </si>
  <si>
    <t>3q50494</t>
  </si>
  <si>
    <t>3q55125</t>
  </si>
  <si>
    <t>3q99346</t>
  </si>
  <si>
    <t>4q05306</t>
  </si>
  <si>
    <t>-</t>
  </si>
  <si>
    <t>TO</t>
  </si>
  <si>
    <t>4q33936</t>
  </si>
  <si>
    <t>4q50494</t>
  </si>
  <si>
    <t>4q55125</t>
  </si>
  <si>
    <t>4q99346</t>
  </si>
  <si>
    <t>5q05306</t>
  </si>
  <si>
    <t>5q33936</t>
  </si>
  <si>
    <t>5q50494</t>
  </si>
  <si>
    <t>5q55125</t>
  </si>
  <si>
    <t>5q99346</t>
  </si>
  <si>
    <t>6q05306</t>
  </si>
  <si>
    <t>6q33936</t>
  </si>
  <si>
    <t>6q50494</t>
  </si>
  <si>
    <t>6q55125</t>
  </si>
  <si>
    <t>6q99346</t>
  </si>
  <si>
    <t>7q05306</t>
  </si>
  <si>
    <t>7q33936</t>
  </si>
  <si>
    <t>7q50494</t>
  </si>
  <si>
    <t>7q55125</t>
  </si>
  <si>
    <t>7q99346</t>
  </si>
  <si>
    <t>pol</t>
  </si>
  <si>
    <t>Table 6 from CNOT-Optimal Clifford Synthesis as SAT</t>
  </si>
  <si>
    <t>2Q gates</t>
  </si>
  <si>
    <t>Time</t>
  </si>
  <si>
    <t>astar</t>
  </si>
  <si>
    <t>greedy</t>
  </si>
  <si>
    <t>QPerm:4,6,2,3,1,0,5 S:0 HS:1 HS:3 H:4 HSH:5 HSH:6 tYY:1,6 tZY:3,1 tZZ:3,4 tXX:0,4 tXY:1,0 tZX:0,3 tXY:6,3 tZZ:3,5 tXY:3,1 tXY:5,0 tXZ:6,1 tXY:0,6 tXY:2,4 tZX:3,2 tYY:1,2 tXZ:0,4</t>
  </si>
  <si>
    <t>QPerm:2,5,1,6,3,4,0 SH:0 HS:1 SH:2 SH:3 HS:4 S:5 tXX:2,5 tYY:2,3 tYY:1,5 tXX:1,2 tYY:0,5 tXY:0,2 tZZ:2,5 tZY:3,2 tZX:6,1 tZY:6,2 tZZ:3,4 tXY:2,4 tZZ:0,4 tXY:0,6</t>
  </si>
  <si>
    <t>QPerm:4,2,1,3,0,5 HS:0 HSH:1 SH:2 SH:3 tXY:5,3 tZX:0,5 tXY:0,1 tZY:5,1 tXY:3,2 tZZ:0,2 tXY:0,4 tZZ:1,4 tXY:1,3 tXY:3,0 tZX:1,5</t>
  </si>
  <si>
    <t>QPerm:5,3,0,4,2,1 S:0 HSH:1 SH:2 HS:3 tZY:5,0 tZY:4,5 tZY:0,1 tZX:1,4 tYY:0,3 tYY:3,4 tXY:3,1 tXY:2,0 tXY:1,2 tZX:4,2 tZY:5,0 tZX:2,5</t>
  </si>
  <si>
    <t>QPerm:2,1,0,3,4,5 HS:0 SH:1 HS:2 S:3 S:4 tYY:4,5 tZY:0,5 tZX:1,4 tXY:2,1 tZX:5,2 tZX:2,0 tXZ:2,4 tZY:0,3 tXY:0,4 tZZ:4,5 tZX:1,3</t>
  </si>
  <si>
    <t>QPerm:3,5,1,0,6,4,2 HSH:0 SH:1 HSH:3 HSH:4 HSH:5 HS:6 tZY:6,3 tZX:5,4 tYY:5,6 tZZ:4,6 tXY:1,5 tYY:1,6 tXY:0,3 tXX:3,6 tZX:5,3 tXX:2,3 tYY:1,2 tZX:2,4 tYY:2,6 tXY:3,0 tXX:0,4 tZZ:0,3</t>
  </si>
  <si>
    <t>QPerm:5,4,2,0,1,3,6 H:0 S:1 HSH:2 H:3 S:5 HS:6 tXY:4,5 tXY:1,2 tYY:1,4 tXY:2,6 tZZ:1,6 tXX:0,2 tZY:3,6 tXY:6,2 tZX:3,5 tXZ:3,6 tZX:0,1 tZX:1,3 tXX:3,5 tZY:5,0 tZX:3,2 tZX:2,4</t>
  </si>
  <si>
    <t>QPerm:2,1,4,0,5,3 HSH:1 SH:2 H:4 SH:5 tZZ:0,2 tXY:5,2 tZY:3,0 tZX:5,3 tXY:1,2 tXY:2,3 tXY:5,4 tXX:2,4 tZZ:1,4 tYZ:0,2</t>
  </si>
  <si>
    <t>QPerm:3,1,2,4,0,5 H:1 S:2 S:3 H:5 tXY:5,2 tXY:0,2 tXY:0,4 tYY:0,5 tZZ:0,4 tXY:1,4 tXX:2,4 tXY:2,3 tZX:3,0 tZY:1,0 tZX:2,0 tYZ:0,5</t>
  </si>
  <si>
    <t>QPerm:5,3,2,6,1,0,4 HS:0 HSH:1 S:4 HSH:5 H:6 tZY:0,2 tZZ:0,1 tXY:2,6 tZX:6,1 tZY:4,2 tXY:4,6 tXX:1,3 tZZ:1,4 tXX:0,1 tYY:1,3 tZZ:1,2 tXY:3,5 tZX:5,1 tXY:2,5 tZY:5,4 tZZ:0,5 tZX:6,5</t>
  </si>
  <si>
    <t>imeout.</t>
  </si>
  <si>
    <t>without-permutation</t>
  </si>
  <si>
    <t>with-permutation</t>
  </si>
  <si>
    <t>minDepth: 1</t>
  </si>
  <si>
    <t>outfile: /Users/markwebster/Dropbox/QuantumComputing/dev/cliffordopt/examples/results/qsynth_0cost_swaps_small-greedy-hv1-hr3-l1-t1-i1-q1000-20260227-131746.txt</t>
  </si>
  <si>
    <t>QPerm:1,3,0,2 HS:0 H:1 SH:2 HSH:3 tXY:0,1 tZX:0,2 tXX:1,2 tZZ:0,3</t>
  </si>
  <si>
    <t>QPerm:2,1,4,0,3 HS:0 HS:1 HSH:2 SH:3 SH:4 tXY:3,4 tXX:2,4 tZY:2,3 tYY:1,4 tYZ:3,4 tZX:0,1 tZY:2,1 tXZ:0,3</t>
  </si>
  <si>
    <t>QPerm:0,3,1,2,4 SH:0 HS:1 SH:2 H:3 HSH:4 tZY:3,2 tZX:3,0 tZY:2,1 tZY:1,0 tZZ:3,4 tZY:1,3 tXY:4,0 tZY:3,4 tXX:0,2</t>
  </si>
  <si>
    <t>QPerm:4,1,3,2,0 SH:0 HSH:1 HSH:2 S:3 tXY:3,2 tZX:4,3 tZX:1,3 tZX:2,1 tXY:0,3 tYX:1,3 tZX:0,2</t>
  </si>
  <si>
    <t>QPerm:0,1,3,2 HSH:0 HS:1 HS:2 tYY:0,3 tYY:2,3 tZY:1,0 tYY:1,3 tZZ:0,2 tZZ:1,2 tZY:3,0</t>
  </si>
  <si>
    <t>QPerm:3,2,1,0 S:0 HS:1 S:2 HS:3 tZX:3,2 tZX:3,1 tZY:2,1 tXY:3,0 tZZ:2,3 tZZ:0,1</t>
  </si>
  <si>
    <t>QPerm:0,1,4,2,3 S:0 H:1 H:2 SH:3 HS:4 tYY:1,3 tZY:1,4 tZZ:3,4 tXX:2,3 tZX:0,1 tZX:2,4 tYZ:0,3</t>
  </si>
  <si>
    <t>QPerm:2,0,4,3,1 SH:0 HS:1 HSH:2 HS:3 SH:4 tZX:4,3 tXY:0,3 tZX:2,4 tYX:2,3 tZY:0,4 tZY:1,3 tYY:1,4 tZX:0,3</t>
  </si>
  <si>
    <t>QPerm:0,4,3,1,2,5 HS:0 SH:1 SH:2 H:3 HSH:4 tXY:5,2 tYY:2,3 tXX:1,5 tZY:2,1 tZZ:2,3 tYY:0,1 tZY:5,4 tZY:2,0 tXX:1,4 tZZ:0,4 tXY:1,3 tZZ:2,4 tXY:3,0 tZX:1,5</t>
  </si>
  <si>
    <t>QPerm:2,1,3,4,0,5 HSH:0 HSH:2 SH:3 S:4 S:5 tZY:4,3 tZX:4,2 tZY:2,3 tZZ:0,4 tZX:2,0 tZY:4,5 tZX:2,1 tZX:3,0 tXX:2,4 tXY:1,3 tZX:5,4 tXY:5,3 tZZ:1,4 tYZ:0,2</t>
  </si>
  <si>
    <t>QPerm:2,1,0,3,4,5 HSH:0 S:2 HS:3 HSH:4 S:5 tYY:4,5 tYY:2,4 tYY:0,4 tXY:2,5 tXY:1,4 tZX:4,5 tZX:2,5 tXY:4,1 tYY:1,2 tZX:0,5 tYY:3,4 tZY:2,4 tXX:5,1 tYY:0,3 tXY:2,0 tZZ:4,5 tZX:1,3</t>
  </si>
  <si>
    <t>QPerm:1,4,0,5,2,3 HSH:0 H:1 HSH:2 HSH:3 HS:4 HSH:5 tXX:4,5 tZX:5,0 tXX:0,4 tXY:3,5 tZZ:0,3 tZX:1,4 tZX:4,3 tZY:0,5 tXY:3,1 tXY:4,2 tZX:5,3 tZY:2,1 tYY:0,4 tZY:1,0 tZY:4,3 tZX:2,5</t>
  </si>
  <si>
    <t>QPerm:3,1,2,0,4,5,6 S:0 S:1 S:4 H:5 S:6 tZY:4,1 tZY:3,4 tZZ:1,6 tZY:1,4 tZY:6,5 tZZ:0,3 tYY:0,4 tXY:3,6 tZZ:0,6 tXY:5,1 tXY:2,4 tXY:1,6 tYX:0,5 tZX:3,2 tZZ:3,5 tYY:1,2 tXZ:0,4</t>
  </si>
  <si>
    <t>QPerm:1,4,2,6,3,5,0 S:0 S:1 H:2 SH:4 HS:5 tXX:1,5 tZX:0,1 tZY:5,2 tZX:1,2 tXY:0,1 tZY:2,3 tYZ:1,5 tXX:0,3 tZZ:2,6 tZX:6,1 tZX:0,2 tZX:3,4 tZZ:1,6 tYY:2,5 tZY:0,4 tXX:1,5 tXX:2,4 tXY:0,6</t>
  </si>
  <si>
    <t>QPerm:4,5,0,1,3,2,6 HSH:0 HS:1 S:2 S:3 H:4 HS:5 SH:6 tYY:0,6 tZZ:0,4 tXY:1,0 tZX:3,4 tZY:1,3 tYY:1,4 tZY:6,3 tZY:0,5 tZY:5,1 tZX:3,2 tZY:5,4 tXX:3,6 tZY:1,2 tYY:5,6 tZY:3,0 tZX:2,4</t>
  </si>
  <si>
    <t>QPerm:1,0,4,2,3,5 SH:0 H:1 HS:2 H:3 HS:4 HSH:5 tZZ:2,3 tZY:3,1 tZX:2,5 tZZ:1,2 tZY:3,0 tZX:4,5 tZX:0,1 tZZ:3,5 tYX:0,2 tXX:3,4 tYY:2,4 tXY:1,5 tZZ:0,3 tZY:1,4 tZY:2,3 tYZ:0,5</t>
  </si>
  <si>
    <t>QPerm:2,1,3,0,6,5,4 HSH:1 HSH:2 S:3 HS:4 HSH:5 S:6 tXY:6,0 tXY:1,4 tXY:1,6 tZY:3,4 tXY:3,1 tXY:6,2 tZY:3,2 tZY:1,5 tZX:3,4 tZX:0,6 tZX:2,5 tZX:2,4 tXY:5,3 tXX:0,1 tXY:1,4 tZZ:0,3 tZX:6,5</t>
  </si>
  <si>
    <t>QPerm:0,6,1,3,2,4,5 HS:0 H:1 HS:2 H:3 HSH:4 H:5 HSH:6 tZX:4,1 tZZ:4,6 tZX:4,0 tZY:6,5 tZZ:4,5 tXY:1,6 tZY:0,3 tZX:5,1 tXY:3,6 tXY:4,2 tXY:4,5 tYY:1,6 tXY:3,2 tZZ:5,6 tXY:2,1 tXX:0,4 tXY:4,1 tYY:2,6 tZZ:0,3</t>
  </si>
  <si>
    <t>Depth</t>
  </si>
  <si>
    <t>outfile: /Users/markwebster/Dropbox/QuantumComputing/dev/cliffordopt/examples/results/qsynth_0cost_swaps_large-astar-hv1-hr3-l1-t1-i1-q1000-20260227-131854.txt</t>
  </si>
  <si>
    <t>QPerm:1,4,0,3,2,5 S:0 S:2 SH:3 H:4 H:5 tXX:2,4 tZY:1,0 tZX:5,3 tZZ:0,4 tXY:1,4 tYZ:0,5 tZX:0,2 tXZ:5,1 tXY:4,3 tYZ:4,5 tZZ:1,0 tZZ:3,2</t>
  </si>
  <si>
    <t>QPerm:0,1,5,3,4,2 HS:0 S:1 HSH:3 S:4 HSH:5 tXX:2,3 tXX:3,1 tYY:5,4 tXX:1,0 tYZ:2,5 tXY:3,0 tXX:2,4 tYY:5,1 tYY:1,2 tXX:5,3 tXY:0,4 tZX:2,4 tYZ:0,5 tYZ:3,1</t>
  </si>
  <si>
    <t>QPerm:3,2,0,1,4,5 S:0 HS:1 H:2 H:3 SH:4 HS:5 tXY:5,3 tZY:1,4 tXX:2,4 tZZ:5,0 tYY:1,2 tXZ:0,3 tZX:4,5 tYY:4,3 tYZ:0,1 tXY:4,0 tZX:3,1 tXX:5,2</t>
  </si>
  <si>
    <t>QPerm:2,5,1,4,0,3 HS:0 HS:1 S:3 S:4 S:5 tYX:5,4 tZY:2,5 tYY:4,3 tXZ:5,0 tXY:0,4 tXX:3,5 tYY:1,2 tZY:0,3 tZX:2,5 tZX:1,4 tYY:4,5 tXZ:1,0 tZZ:3,2</t>
  </si>
  <si>
    <t>QPerm:2,4,5,0,1,3 HS:0 S:2 H:3 SH:4 H:5 tYY:3,5 tXY:2,5 tYZ:3,1 tXY:1,5 tXZ:2,3 tZX:4,0 tZX:4,3 tYX:0,5 tYX:3,0 tYZ:2,5 tYZ:4,1 tXY:2,1 tYY:0,4 tXX:5,3</t>
  </si>
  <si>
    <t>QPerm:0,2,3,6,5,4,1 S:1 SH:2 HS:3 SH:4 H:5 tXZ:1,6 tXZ:5,1 tZX:4,6 tZX:5,2 tYZ:4,1 tYZ:2,6 tXY:3,5 tXY:1,2 tZX:4,3 tXY:6,0 tXZ:2,3 tXX:1,5 tXY:0,4 tXY:5,3 tXX:1,0 tZZ:2,4</t>
  </si>
  <si>
    <t>QPerm:3,5,6,4,0,2,1 SH:0 HS:1 H:2 SH:3 HS:4 HS:5 HS:6 tXY:1,3 tYX:2,5 tXZ:4,0 tZZ:3,2 tYZ:2,1 tYY:4,3 tXZ:4,2 tZX:1,5 tZY:3,6 tZZ:5,4 tXZ:2,6 tXY:3,0 tXX:5,2 tXX:0,4 tYZ:1,6 tZY:5,1 tXZ:6,2 tZX:0,4</t>
  </si>
  <si>
    <t>QPerm:6,3,5,4,2,1,0 H:0 H:1 S:4 HSH:5 HS:6 tYZ:1,0 tXZ:3,2 tYX:0,6 tXY:2,1 tZX:3,0 tZZ:0,2 tYY:3,6 tXZ:1,5 tZY:5,3 tYY:6,2 tXZ:4,1 tXX:1,2 tYX:0,5 tXZ:3,4 tXY:0,3 tYZ:2,4 tXY:5,6</t>
  </si>
  <si>
    <t>QPerm:0,2,4,3,1,6,5 SH:1 HS:2 HS:3 HS:4 S:5 HSH:6 tZX:5,6 tZX:0,5 tZZ:3,6 tZX:6,5 tYY:3,0 tXX:1,2 tXY:5,3 tXY:6,2 tZZ:0,4 tZX:5,4 tXZ:0,2 tZY:3,1 tXX:3,6 tYX:0,2 tXX:1,4 tYX:2,1 tZX:4,0 tXY:5,6 tYX:2,3 tYX:4,6 tZZ:0,1</t>
  </si>
  <si>
    <t>QPerm:3,5,0,6,1,2,4 HS:0 HS:3 HSH:4 H:5 SH:6 tXX:1,3 tZX:6,1 tZY:4,0 tXZ:6,3 tXY:0,1 tZX:1,4 tZX:3,0 tYY:6,2 tZX:3,4 tZX:6,0 tYX:1,5 tYY:5,3 tYX:0,4 tXZ:2,1 tYX:6,3 tZY:2,4 tYX:5,0</t>
  </si>
  <si>
    <t>QPerm:3,0,1,2 H:0 H:1 HS:3 tZZ:2,3 tYX:3,1 tXX:2,0 tXY:3,0 tZZ:1,2</t>
  </si>
  <si>
    <t>QPerm:0,1,3,2 HSH:0 SH:1 SH:2 HS:3 tXY:0,2 tYZ:2,1 tYZ:1,0 tXZ:2,3 tZY:2,1 tYY:0,3</t>
  </si>
  <si>
    <t>QPerm:1,3,0,2 HS:0 H:1 SH:2 HSH:3 tYX:1,0 tZX:0,2 tXX:2,1 tZZ:3,0</t>
  </si>
  <si>
    <t>QPerm:3,2,1,0 S:0 HS:1 S:2 HS:3 tZX:3,2 tZX:3,1 tZY:2,1 tXY:3,0 tZZ:3,2 tZZ:0,1</t>
  </si>
  <si>
    <t>QPerm:2,1,3,4,0 HS:0 HS:1 HS:3 SH:4 tZX:3,4 tYY:2,3 tZZ:2,4 tZY:3,1 tXX:3,4 tXZ:1,0 tXZ:0,3 tZY:2,1</t>
  </si>
  <si>
    <t>QPerm:0,1,3,2,4 S:0 H:1 SH:2 S:4 tYZ:1,3 tZZ:3,4 tZZ:1,2 tXY:2,3 tXZ:1,0 tYY:2,4 tYZ:0,3</t>
  </si>
  <si>
    <t>QPerm:4,1,3,2,0 SH:0 S:1 S:2 SH:3 tZZ:1,2 tZX:4,3 tYX:1,3 tXY:1,2 tYX:3,0 tYX:1,3 tZX:0,2</t>
  </si>
  <si>
    <t>QPerm:4,0,3,2,1 HS:0 HS:1 SH:2 S:3 tXZ:3,0 tXZ:3,2 tZZ:4,0 tZY:2,0 tYZ:4,3 tYY:3,2 tYZ:0,1 tXZ:0,3 tYY:1,4</t>
  </si>
  <si>
    <t>QPerm:0,3,1,2,4 H:0 HS:1 SH:2 S:3 SH:4 tYY:2,3 tZY:2,1 tXY:0,3 tXZ:4,1 tZX:1,3 tZY:4,0 tYX:4,3 tXX:0,2</t>
  </si>
  <si>
    <t>file: SATCircuits/Random-Clifford/tket_optimized_0cost_swaps</t>
  </si>
  <si>
    <t>outfile: /home/ucapmwe/cliffordOpt/examples/results/SATCircuits_Random-Clifford_tket_optimized_0cost_swaps-astar-hv1-hr3-l1-t1-i1-q1000-20260301-142012.txt</t>
  </si>
  <si>
    <t>outfile: /home/ucapmwe/cliffordOpt/examples/results/SATCircuits_Random-Clifford_tket_optimized_0cost_swaps-greedy-hv1-hr3-l1-t1-i1-q1000-20260301-141906.txt</t>
  </si>
  <si>
    <t>method: qiskit</t>
  </si>
  <si>
    <t>submethod: 1</t>
  </si>
  <si>
    <t>methodName: ag</t>
  </si>
  <si>
    <t>outfile: /home/ucapmwe/cliffordOpt/examples/results/SATCircuits_Random-Clifford_tket_optimized_0cost_swaps-qiskit-ag-20260301-153054.txt</t>
  </si>
  <si>
    <t>Z:1 H:2 SDG:2 H:2 SDG:2 H:1 SDG:1 H:1 CX:2,1 H:0 CX:0,2 H:0 SDG:0 CX:2,0 CX:1,0 SDG:0 CX:0,1</t>
  </si>
  <si>
    <t>X:1 Z:1 Z:0 H:2 SDG:2 H:2 SDG:2 H:1 CX:1,2 H:1 CX:2,1 SDG:1 CX:2,1 SDG:1 SWAP:2,1 SDG:0 CX:1,0 CX:0,2</t>
  </si>
  <si>
    <t>X:2 Z:2 X:1 H:1 SDG:1 CX:1,2 H:1 CX:2,1 SDG:1 CX:2,1 SDG:1 CX:1,2 H:0 SDG:0 CX:0,2 H:0 SDG:0 CX:2,0 CX:1,0 SDG:0 CX:0,2</t>
  </si>
  <si>
    <t>X:1 Z:0 H:2 SDG:2 H:2 CX:2,1 SDG:1 CX:2,1 SDG:1 H:1 H:0 SDG:0 CX:0,2 H:0 CX:2,0 CX:1,0 SDG:0 CX:2,0 CX:1,0 SWAP:1,0</t>
  </si>
  <si>
    <t>Z:2 X:1 Z:0 H:2 SDG:2 H:2 H:1 CX:1,2 H:1 CX:2,1 CX:1,2 CX:2,0 CX:1,0 SDG:0 CX:2,0 CX:1,0 SDG:0 SWAP:2,0</t>
  </si>
  <si>
    <t>Z:2 X:1 H:2 SDG:2 H:2 CX:3,2 H:1 CX:1,3 H:1 CX:2,1 SDG:1 CX:3,1 CX:2,1 SDG:1 CX:1,3 CX:3,0 CX:2,0 CX:1,0 SDG:0 CX:1,0 SDG:0 CX:0,1</t>
  </si>
  <si>
    <t>X:3 X:2 Z:2 Z:1 Z:0 H:3 H:2 SDG:2 CX:2,3 H:2 CX:3,2 SDG:2 CX:3,2 H:1 CX:1,3 CX:1,2 H:1 SDG:1 H:0 SDG:0 CX:0,1 H:0 CX:3,0 CX:1,0 SDG:0 CX:3,0 CX:2,0 CX:0,1</t>
  </si>
  <si>
    <t>X:3 Z:2 Z:1 X:0 Z:0 H:3 SDG:3 H:3 H:2 SDG:2 H:2 CX:3,2 SDG:2 CX:3,2 SWAP:3,2 H:1 SDG:1 CX:1,2 H:1 CX:3,1 SDG:1 SWAP:2,1 H:0 CX:0,2 H:0 SDG:0 CX:2,0 CX:1,0 SDG:0 SWAP:1,0</t>
  </si>
  <si>
    <t>Z:3 Z:2 Z:1 X:0 CX:2,3 H:1 SDG:1 CX:1,3 H:1 CX:3,1 CX:2,1 SDG:1 CX:1,3 CX:1,2 H:0 CX:0,3 CX:0,2 CX:0,1 H:0 CX:1,0 SDG:0 CX:2,0 SDG:0 CX:0,2 CX:0,1</t>
  </si>
  <si>
    <t>Z:2 X:1 Z:1 Z:0 H:3 SDG:3 H:3 H:3 H:2 CX:2,3 H:2 CX:3,2 SDG:2 CX:2,3 H:1 CX:1,3 H:1 SDG:1 CX:3,0 SDG:0 CX:2,0 CX:1,0 CX:0,3 SWAP:1,0</t>
  </si>
  <si>
    <t>Z:1 X:0 Z:0 H:4 SDG:4 H:4 SDG:4 H:3 SDG:3 H:3 CX:4,2 SDG:2 CX:3,2 CX:2,4 SWAP:3,2 H:1 CX:1,4 H:1 CX:3,1 CX:2,1 SDG:1 CX:4,1 CX:3,1 CX:1,3 CX:1,2 H:0 CX:0,1 H:0 CX:4,0 CX:3,0 CX:1,0 SDG:0 CX:4,0 CX:3,0 CX:1,0 SWAP:4,0</t>
  </si>
  <si>
    <t>X:4 Z:3 X:2 Z:1 X:0 SDG:4 H:3 SDG:3 H:3 CX:4,3 SDG:3 CX:4,3 H:2 CX:2,4 H:2 SDG:2 CX:2,4 SWAP:3,2 H:1 SDG:1 CX:1,2 H:1 CX:3,1 SDG:1 CX:4,1 SDG:1 CX:1,4 CX:1,3 CX:1,2 H:0 CX:0,2 H:0 CX:4,0 CX:3,0 CX:1,0 SDG:0 CX:4,0 CX:3,0 CX:2,0 CX:1,0 SDG:0 CX:0,4 CX:0,3 SWAP:2,0</t>
  </si>
  <si>
    <t>X:4 X:3 Z:1 X:0 H:3 SDG:3 H:3 CX:4,3 SDG:3 CX:4,3 CX:4,2 CX:3,2 SDG:2 CX:4,2 SDG:2 H:1 CX:1,4 CX:1,3 CX:1,2 H:1 CX:4,1 SDG:1 CX:3,1 CX:2,1 CX:1,2 H:0 CX:0,3 CX:0,2 H:0 CX:2,0 CX:1,0 SDG:0 CX:4,0 CX:3,0 CX:2,0 CX:1,0 CX:0,4 CX:0,3 SWAP:2,0</t>
  </si>
  <si>
    <t>X:2 Z:1 Z:0 H:4 SDG:4 H:4 H:4 H:3 SDG:3 H:3 CX:4,3 CX:3,4 H:2 SDG:2 CX:2,4 H:2 CX:2,4 SWAP:3,2 H:1 CX:1,4 CX:1,3 H:1 CX:4,1 SDG:1 CX:3,1 CX:2,1 CX:1,4 CX:1,3 CX:1,2 CX:3,0 CX:1,0 SDG:0 CX:4,0 CX:3,0 CX:1,0 SDG:0 CX:0,4 CX:0,3 CX:0,2 CX:0,1</t>
  </si>
  <si>
    <t>X:4 X:3 Z:3 X:2 X:1 Z:0 H:4 SDG:4 H:4 H:3 SDG:3 H:3 SDG:3 CX:4,3 CX:3,4 H:2 CX:2,4 H:2 CX:4,2 CX:3,2 SDG:2 CX:3,2 SDG:2 CX:2,4 CX:2,3 H:1 SDG:1 CX:1,4 CX:1,3 H:1 CX:3,1 CX:2,1 SDG:1 CX:4,1 CX:3,1 SDG:1 CX:1,4 CX:1,2 H:0 SDG:0 CX:0,1 H:0 CX:3,0 SDG:0 CX:3,0 CX:1,0 SDG:0 SWAP:1,0</t>
  </si>
  <si>
    <t>X:4 Z:3 X:2 X:0 H:5 SDG:5 H:5 H:4 SDG:4 H:4 H:4 H:3 SDG:3 CX:3,4 H:3 CX:4,3 SWAP:5,3 H:2 CX:2,4 CX:2,3 H:2 CX:5,2 CX:3,2 SDG:2 CX:5,2 CX:3,2 CX:2,4 CX:2,3 H:1 CX:1,5 CX:1,4 H:1 CX:5,1 CX:3,1 SDG:1 CX:4,1 CX:3,1 CX:2,1 CX:1,5 CX:1,4 SWAP:2,1 H:0 SDG:0 CX:0,4 CX:0,2 CX:0,1 H:0 CX:5,0 CX:4,0 CX:3,0 CX:2,0 CX:1,0 SDG:0 CX:3,0 CX:1,0 SDG:0 CX:0,5 CX:0,4 CX:0,1</t>
  </si>
  <si>
    <t>X:5 Z:5 Z:4 Z:3 Z:2 Z:1 X:0 Z:0 H:5 SDG:4 CX:5,4 SDG:4 H:4 H:3 CX:3,5 CX:3,4 H:3 CX:5,3 CX:4,3 SDG:3 CX:5,3 SWAP:5,3 H:2 CX:2,5 H:2 CX:5,2 CX:4,2 SDG:2 CX:4,2 CX:3,2 SDG:2 CX:2,5 CX:2,4 H:1 CX:1,4 CX:1,2 H:1 CX:5,1 CX:4,1 SDG:1 CX:5,1 CX:4,1 CX:2,1 CX:1,5 CX:1,3 SWAP:2,1 H:0 CX:0,5 CX:0,2 CX:0,1 H:0 CX:4,0 SDG:0 CX:4,0 CX:2,0</t>
  </si>
  <si>
    <t>X:5 Z:4 X:2 Z:2 X:0 H:5 SDG:5 H:5 H:5 H:4 SDG:4 H:4 CX:5,4 SDG:4 CX:5,4 SWAP:5,4 H:3 CX:3,5 H:3 CX:5,3 CX:4,3 H:3 H:2 CX:2,5 CX:2,4 H:2 CX:5,2 CX:4,2 CX:3,2 SDG:2 CX:3,2 CX:2,5 H:1 SDG:1 H:1 CX:5,1 CX:4,1 CX:2,1 SDG:1 CX:4,1 CX:3,1 CX:2,1 CX:1,4 CX:1,2 H:0 CX:0,1 H:0 CX:4,0 CX:3,0 CX:2,0 CX:1,0 SDG:0 CX:3,0 CX:1,0 SDG:0 CX:0,4 CX:0,3 CX:0,2 SWAP:1,0</t>
  </si>
  <si>
    <t>X:5 X:4 Z:2 X:1 Z:1 X:0 H:5 SDG:5 H:5 H:5 H:4 SDG:4 H:4 CX:5,4 SWAP:5,4 H:3 SDG:3 H:3 CX:5,3 H:2 SDG:2 CX:2,4 H:2 CX:3,2 SDG:2 CX:4,2 SDG:2 CX:2,5 SWAP:4,2 H:1 CX:1,5 CX:1,4 CX:1,2 H:1 CX:5,1 CX:3,1 SDG:1 CX:4,1 H:0 CX:0,2 H:0 CX:5,0 CX:4,0 CX:3,0 CX:2,0 SDG:0 CX:5,0 CX:4,0 SDG:0 CX:0,5 CX:0,3</t>
  </si>
  <si>
    <t>X:4 Z:4 X:3 Z:3 X:2 X:1 Z:1 Z:0 H:4 SDG:4 CX:4,5 H:4 SDG:4 CX:5,4 H:3 SDG:3 H:3 CX:5,3 CX:4,3 SDG:3 CX:4,3 SDG:3 H:2 SDG:2 CX:2,5 CX:2,4 CX:2,3 H:2 SDG:2 CX:5,2 CX:3,2 CX:2,4 CX:2,3 H:1 CX:1,5 CX:1,3 CX:1,2 H:1 CX:3,1 CX:2,1 SDG:1 CX:4,1 CX:2,1 SDG:1 CX:1,4 CX:1,3 SWAP:2,1 H:0 CX:0,5 CX:0,4 CX:0,3 CX:0,1 H:0 CX:4,0 SDG:0 CX:4,0 CX:3,0 SDG:0 SWAP:3,0</t>
  </si>
  <si>
    <t>X:5 X:4 Z:4 X:3 Z:3 Z:2 X:0 H:6 SDG:6 H:6 H:5 SDG:5 CX:5,6 H:5 SDG:5 CX:5,6 H:4 SDG:4 CX:4,5 H:4 CX:6,4 CX:5,4 SDG:4 CX:6,4 SDG:4 CX:4,6 H:3 SDG:3 CX:3,6 CX:3,5 CX:3,4 H:3 CX:6,3 SDG:3 CX:6,3 CX:5,3 SDG:3 H:3 H:2 CX:2,5 CX:2,4 CX:2,3 H:2 CX:6,2 CX:5,2 CX:4,2 CX:3,2 SDG:2 CX:2,6 CX:2,5 CX:5,1 CX:3,1 SDG:1 CX:6,1 CX:4,1 CX:2,1 CX:1,6 CX:1,4 H:0 SDG:0 H:0 CX:6,0 CX:5,0 SDG:0 CX:6,0 CX:5,0 CX:2,0 CX:1,0 CX:0,5 CX:0,4 CX:0,3 CX:0,2</t>
  </si>
  <si>
    <t>X:6 X:5 Z:5 Z:4 X:3 Z:3 Z:2 X:1 Z:0 H:6 SDG:6 H:6 H:6 H:5 SDG:5 CX:5,6 H:5 SDG:5 CX:6,5 H:4 CX:4,6 CX:4,5 H:4 CX:6,4 SDG:4 CX:6,4 SDG:4 CX:4,6 SWAP:5,4 H:3 SDG:3 CX:3,6 CX:3,5 CX:3,4 H:3 CX:6,3 CX:4,3 SDG:3 CX:4,3 CX:3,5 CX:3,4 H:2 CX:2,5 CX:2,4 H:2 CX:3,2 SDG:2 CX:6,2 CX:5,2 CX:3,2 SDG:2 CX:2,6 H:1 SDG:1 CX:1,6 CX:1,5 CX:1,3 H:1 CX:6,1 CX:4,1 CX:3,1 CX:2,1 SDG:1 CX:6,1 SDG:1 CX:1,6 CX:1,2 H:0 SDG:0 CX:0,6 CX:0,5 CX:0,3 CX:0,1 H:0 CX:6,0 CX:5,0 CX:4,0 CX:1,0 SDG:0 CX:6,0 CX:4,0 CX:2,0 CX:0,5 SWAP:4,0</t>
  </si>
  <si>
    <t>X:6 X:5 Z:5 X:3 X:2 X:1 Z:0 H:6 SDG:6 H:6 H:6 H:5 CX:5,6 H:5 CX:6,5 SDG:5 CX:6,5 H:4 SDG:4 CX:4,6 CX:4,5 H:4 CX:6,4 CX:4,6 SWAP:5,4 CX:4,3 SDG:3 CX:6,3 CX:4,3 SDG:3 CX:3,6 H:2 CX:2,6 CX:2,3 H:2 CX:6,2 CX:3,2 SDG:2 CX:6,2 CX:4,2 CX:2,4 CX:2,3 H:1 SDG:1 CX:1,6 CX:1,5 CX:1,2 H:1 CX:6,1 CX:5,1 CX:4,1 CX:2,1 SDG:1 CX:4,1 CX:2,1 CX:1,5 CX:1,3 SWAP:2,1 H:0 SDG:0 CX:0,4 CX:0,3 CX:0,1 H:0 CX:6,0 CX:5,0 CX:4,0 CX:2,0 SDG:0 CX:4,0 CX:2,0 CX:0,5 CX:0,4 CX:0,3 SWAP:2,0</t>
  </si>
  <si>
    <t>Z:6 X:4 Z:3 Z:2 X:1 Z:0 H:6 SDG:6 H:6 H:5 CX:5,6 H:5 CX:6,5 SWAP:6,5 H:4 SDG:4 CX:4,6 H:4 CX:5,4 SDG:4 CX:4,5 H:3 SDG:3 CX:3,6 CX:3,5 H:3 CX:5,3 CX:4,3 SDG:3 CX:6,3 CX:4,3 CX:3,5 SWAP:4,3 H:2 SDG:2 CX:2,5 CX:2,4 H:2 CX:4,2 CX:3,2 SDG:2 CX:5,2 CX:4,2 SDG:2 SWAP:6,2 H:1 CX:1,4 CX:1,3 CX:1,2 H:1 CX:4,1 CX:3,1 CX:2,1 SDG:1 CX:5,1 CX:3,1 CX:2,1 CX:1,5 CX:1,4 SWAP:2,1 H:0 SDG:0 CX:0,6 CX:0,1 H:0 SDG:0 CX:2,0 CX:1,0 SDG:0 CX:0,6 CX:0,4 SWAP:1,0</t>
  </si>
  <si>
    <t>X:5 X:4 Z:4 Z:3 Z:2 X:1 Z:1 X:0 Z:0 H:6 SDG:6 H:6 H:6 H:5 CX:5,6 H:5 SDG:5 H:4 SDG:4 CX:4,6 H:4 CX:5,4 SDG:4 CX:4,6 SWAP:5,4 H:3 CX:3,6 CX:3,4 H:3 CX:6,3 CX:4,3 SDG:3 CX:6,3 CX:5,3 CX:3,5 SWAP:4,3 H:2 SDG:2 CX:2,5 CX:2,4 CX:2,3 H:2 CX:3,2 SDG:2 CX:5,2 CX:4,2 CX:3,2 SDG:2 CX:2,6 CX:2,5 SWAP:4,2 H:1 CX:1,6 CX:1,3 H:1 CX:6,1 CX:5,1 CX:3,1 CX:2,1 SDG:1 CX:3,1 CX:1,5 CX:1,4 CX:1,3 SWAP:2,1 H:0 CX:0,6 CX:0,5 CX:0,1 H:0 CX:6,0 SDG:0 CX:5,0 CX:4,0 CX:1,0 SDG:0 CX:0,6 CX:0,3 CX:0,2 SWAP:1,0</t>
  </si>
  <si>
    <t>file: SATCircuits/Random-Clifford/tket_optimized_without_swaps_gates</t>
  </si>
  <si>
    <t>outfile: /home/ucapmwe/cliffordOpt/examples/results/SATCircuits_Random-Clifford_tket_optimized_without_swaps_gates-astar-hv1-hr3-l1-t1-i1-q1000-20260301-142012.txt</t>
  </si>
  <si>
    <t>outfile: /home/ucapmwe/cliffordOpt/examples/results/SATCircuits_Random-Clifford_tket_optimized_without_swaps_gates-greedy-hv1-hr3-l1-t1-i1-q1000-20260301-141906.txt</t>
  </si>
  <si>
    <t>outfile: /home/ucapmwe/cliffordOpt/examples/results/SATCircuits_Random-Clifford_tket_optimized_without_swaps_gates-qiskit-ag-20260301-153054.txt</t>
  </si>
  <si>
    <t>file: SATCircuits/Random-Clifford/tket_optimized_without_swaps_no_u3_gates</t>
  </si>
  <si>
    <t>outfile: /home/ucapmwe/cliffordOpt/examples/results/SATCircuits_Random-Clifford_tket_optimized_without_swaps_no_u3_gates-astar-hv1-hr3-l1-t1-i1-q1000-20260301-142012.txt</t>
  </si>
  <si>
    <t>outfile: /home/ucapmwe/cliffordOpt/examples/results/SATCircuits_Random-Clifford_tket_optimized_without_swaps_no_u3_gates-greedy-hv1-hr3-l1-t1-i1-q1000-20260301-141906.txt</t>
  </si>
  <si>
    <t>outfile: /home/ucapmwe/cliffordOpt/examples/results/SATCircuits_Random-Clifford_tket_optimized_without_swaps_no_u3_gates-qiskit-ag-20260301-153054.txt</t>
  </si>
  <si>
    <t>Count</t>
  </si>
  <si>
    <t>Method</t>
  </si>
  <si>
    <t>Circuit</t>
  </si>
  <si>
    <t xml:space="preserve">method: </t>
  </si>
  <si>
    <t>qMax: 100</t>
  </si>
  <si>
    <t>outfile: /home/ucapmwe/cliffordOpt/examples/results/SATCircuits_Random-Clifford_tket_optimized_0cost_swaps-astar-hv1-hr3-l1-t1-i1-q100-20260303-084149.txt</t>
  </si>
  <si>
    <t>QPerm:4,1,2,3,0 S:0 H:1 H:2 H:3 HSH:4 tZZ:4,0 tZY:4,2 tYY:0,1 tXX:1,4 tXZ:2,3 tYY:2,4 tZY:0,3 tYX:0,2</t>
  </si>
  <si>
    <t>QPerm:0,3,1,2,4 H:0 S:2 H:3 tZZ:2,0 tXY:1,2 tZY:3,0 tYZ:1,4 tXX:1,0 tYX:0,2 tXX:4,3 tZZ:1,4</t>
  </si>
  <si>
    <t>QPerm:3,1,4,2,0 H:0 H:1 HS:2 SH:3 tZZ:1,2 tXY:3,0 tZX:4,3 tXY:0,1 tZZ:1,3 tZX:2,1 tYY:2,0</t>
  </si>
  <si>
    <t>QPerm:0,1,2,3,5,4 S:0 HS:1 HS:2 HS:3 HS:4 S:5 tXZ:4,5 tZZ:0,1 tYX:4,1 tZY:2,5 tYX:2,4 tXZ:0,2 tXY:4,3 tZY:0,3 tXZ:3,1 tXZ:0,5 tZZ:0,4</t>
  </si>
  <si>
    <t>QPerm:2,1,4,0,5,3 HSH:1 SH:2 H:4 SH:5 tZZ:2,0 tYZ:0,3 tYX:2,5 tZX:5,3 tXY:1,2 tXY:2,3 tYX:4,5 tXX:2,4 tZZ:1,4 tYZ:0,2</t>
  </si>
  <si>
    <t>QPerm:0,4,1,3,2,5 HSH:0 SH:1 SH:2 H:3 HS:4 SH:5 tXZ:3,5 tYY:2,3 tXX:5,4 tZZ:4,3 tXY:1,5 tZZ:1,2 tXZ:0,1 tYX:3,1 tXZ:5,1 tYY:4,0 tXX:4,3</t>
  </si>
  <si>
    <t>QPerm:5,3,0,2,1,6,4 S:1 HS:3 H:4 S:5 S:6 tYZ:1,4 tYX:4,3 tZY:6,4 tYZ:5,1 tXY:6,1 tXZ:3,1 tXX:5,0 tXZ:1,0 tZZ:3,0 tXY:6,2 tYY:6,0 tXZ:2,1 tZX:2,4 tZZ:2,5 tXX:5,3</t>
  </si>
  <si>
    <t>QPerm:0,5,1,3,6,4,2 HS:0 H:1 SH:2 H:3 S:4 SH:5 tYX:6,0 tZY:0,3 tZZ:5,6 tYX:4,5 tXX:4,0 tXZ:6,1 tXY:1,5 tZX:5,3 tXY:2,6 tYX:2,3 tZZ:0,3 tYX:2,4 tZY:2,1 tXY:6,2</t>
  </si>
  <si>
    <t>QPerm:1,3,5,6,4,0,2 HSH:0 HSH:1 SH:2 H:3 S:4 HS:5 S:6 tZX:6,0 tYY:2,3 tXX:0,3 tYY:5,1 tYY:6,1 tXX:5,2 tYY:5,3 tZX:6,5 tZY:6,4 tZX:3,4 tZZ:0,4 tYZ:4,1 tZY:4,2 tYX:4,5</t>
  </si>
  <si>
    <t>QPerm:4,5,6,1,3,2,0 SH:0 HS:1 SH:2 HS:3 HS:4 HS:5 tZX:3,0 tZX:6,0 tZX:6,1 tYZ:0,1 tXY:2,3 tZX:2,1 tZZ:2,6 tXY:0,5 tZZ:5,2 tZY:0,4 tXZ:2,4 tZY:3,4 tXY:0,6 tXZ:6,4</t>
  </si>
  <si>
    <t>QPerm:5,4,2,3,1,6,0 H:0 HS:1 HS:2 HSH:3 HSH:4 HSH:5 HS:6 tXZ:5,3 tZZ:3,6 tXZ:6,5 tZZ:4,1 tYZ:4,3 tYZ:1,0 tYX:3,0 tZX:0,5 tYZ:5,1 tYX:6,1 tYY:2,4 tXZ:0,4 tYX:1,2 tZZ:2,3</t>
  </si>
  <si>
    <t>outfile: /home/ucapmwe/cliffordOpt/examples/results/SATCircuits_Random-Clifford_tket_optimized_without_swaps_no_u3_gates-astar-hv1-hr3-l1-t1-i1-q100-20260303-084149.txt</t>
  </si>
  <si>
    <t>file: SATCircuits/Random-Clifford/tket_optimized_without_swaps</t>
  </si>
  <si>
    <t>outfile: /home/ucapmwe/cliffordOpt/examples/results/SATCircuits_Random-Clifford_tket_optimized_without_swaps-astar-hv1-hr3-l1-t1-i1-q100-20260303-084149.txt</t>
  </si>
  <si>
    <t>1a</t>
  </si>
  <si>
    <t>4a</t>
  </si>
  <si>
    <t>7a</t>
  </si>
  <si>
    <t>n</t>
  </si>
  <si>
    <t>Match</t>
  </si>
  <si>
    <t>GateCount</t>
  </si>
  <si>
    <t>file: SATCircuits/Random-Clifford/</t>
  </si>
  <si>
    <t>without permutation</t>
  </si>
  <si>
    <t>with permutation</t>
  </si>
  <si>
    <t>file: SATCircuits/Random-Clifford/qsynth_0cost_swaps</t>
  </si>
  <si>
    <t>method: optimal</t>
  </si>
  <si>
    <t>outfile: /Users/markwebster/Dropbox/QuantumComputing/dev/cliffordopt/examples/results/SATCircuits_Random-Clifford_qsynth_0cost_swaps-optimal-20260305-152057.txt</t>
  </si>
  <si>
    <t>QPerm:1,2,0 S:2 HS:0 HSH:1 tZX:1,2 tXY:1,0</t>
  </si>
  <si>
    <t>QPerm:1,2,0 HS:2 S:0 HSH:1 tXZ:2,1 tXY:2,0 tXZ:1,0</t>
  </si>
  <si>
    <t>QPerm:2,1,0 HSH:2 S:1 SH:0 tYZ:1,2 tYY:1,0 tXZ:2,0</t>
  </si>
  <si>
    <t>QPerm:2,1,0 H:1 HSH:0 tZZ:2,1 tZZ:2,0 tYX:1,0</t>
  </si>
  <si>
    <t>QPerm:0,1,3,2 SH:0 S:1 SH:2 tYZ:2,1 tXY:2,3 tZZ:2,0 tYX:1,0 tZY:3,0</t>
  </si>
  <si>
    <t>QPerm:1,0,2,3 S:1 S:0 S:2 HSH:3 tZY:2,0 tXY:2,3 tZX:2,1 tXY:0,1 tZZ:0,3</t>
  </si>
  <si>
    <t>QPerm:1,3,0,2 SH:2 HS:0 HSH:3 H:1 tXY:0,1 tZZ:0,3 tZX:0,2 tXX:2,1</t>
  </si>
  <si>
    <t>QPerm:3,2,0,1 HS:3 H:1 H:0 tYX:3,2 tZZ:3,0 tXX:3,1 tZY:2,1 tYZ:0,1</t>
  </si>
  <si>
    <t>QPerm:2,0,1,3 S:1 H:2 HSH:0 HS:3 tXX:0,1 tZX:0,2 tXZ:0,3 tZY:1,3 tYY:1,2</t>
  </si>
  <si>
    <t>QPerm:1,0,3,2,4 HSH:1 HSH:0 H:2 HSH:4 tYZ:2,1 tZZ:2,3 tZY:4,3 tXX:0,4 tYX:0,2 tZY:2,3 tYY:4,1 tZX:2,1</t>
  </si>
  <si>
    <t>QPerm:2,4,3,1,0 SH:4 H:2 SH:1 tZX:1,4 tXY:1,0 tZZ:2,0 tZY:3,2 tXY:3,1 tZZ:3,4 tZX:0,4 tZY:1,0</t>
  </si>
  <si>
    <t>QPerm:3,1,4,2,0 HSH:4 H:1 H:3 HS:0 HS:2 tYX:0,4 tYY:2,4 tZX:1,4 tXY:1,3 tZZ:1,2 tXZ:1,0 tYX:0,3</t>
  </si>
  <si>
    <t>QPerm:4,3,2,1,0 HSH:3 HS:2 S:1 HSH:0 tYY:1,3 tZZ:0,3 tZZ:2,4 tYX:2,1 tXX:2,0 tYY:0,1 tXY:1,3</t>
  </si>
  <si>
    <t>QPerm:0,1,4,3,2 S:0 HSH:1 SH:3 S:2 tYZ:1,3 tXZ:1,0 tXZ:1,4 tXX:4,2 tXY:3,2 tYZ:0,3</t>
  </si>
  <si>
    <t>AStar-100</t>
  </si>
  <si>
    <t>Greedy</t>
  </si>
  <si>
    <t>Optimal</t>
  </si>
  <si>
    <t>\hline</t>
  </si>
  <si>
    <t>\end{table}</t>
  </si>
  <si>
    <t>\begin{table}[h!]</t>
  </si>
  <si>
    <t>\setlength\tabcolsep{2pt}</t>
  </si>
  <si>
    <t>\fontfamily{lmss}\fontsize{8}{9}\selectfont{</t>
  </si>
  <si>
    <t>\begin{center}</t>
  </si>
  <si>
    <t>\begin{tabular}{ |l|</t>
  </si>
  <si>
    <t>\end{tabular}</t>
  </si>
  <si>
    <t>r|</t>
  </si>
  <si>
    <t>r|}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</si>
</sst>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E+00"/>
    <numFmt numFmtId="165" formatCode="0.0E+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5FA0-21BB-4145-8F70-485D62172F82}">
  <dimension ref="A1:AO35"/>
  <sheetViews>
    <sheetView tabSelected="1" topLeftCell="P2" workbookViewId="0">
      <selection activeCell="AB7" sqref="AB7"/>
    </sheetView>
  </sheetViews>
  <sheetFormatPr baseColWidth="10" defaultRowHeight="16" x14ac:dyDescent="0.2"/>
  <cols>
    <col min="9" max="9" width="5.83203125" customWidth="1"/>
    <col min="10" max="11" width="7.6640625" bestFit="1" customWidth="1"/>
    <col min="12" max="12" width="8.1640625" bestFit="1" customWidth="1"/>
    <col min="13" max="13" width="7.6640625" bestFit="1" customWidth="1"/>
    <col min="14" max="21" width="7.6640625" customWidth="1"/>
    <col min="22" max="23" width="7.33203125" bestFit="1" customWidth="1"/>
    <col min="24" max="24" width="9" bestFit="1" customWidth="1"/>
    <col min="25" max="25" width="7.6640625" bestFit="1" customWidth="1"/>
    <col min="26" max="26" width="6.5" bestFit="1" customWidth="1"/>
    <col min="27" max="27" width="7.33203125" bestFit="1" customWidth="1"/>
  </cols>
  <sheetData>
    <row r="1" spans="1:41" x14ac:dyDescent="0.2">
      <c r="A1" t="s">
        <v>120</v>
      </c>
    </row>
    <row r="2" spans="1:41" x14ac:dyDescent="0.2">
      <c r="AC2" t="s">
        <v>270</v>
      </c>
    </row>
    <row r="3" spans="1:41" x14ac:dyDescent="0.2">
      <c r="AC3" t="s">
        <v>271</v>
      </c>
    </row>
    <row r="4" spans="1:41" x14ac:dyDescent="0.2">
      <c r="AC4" t="s">
        <v>272</v>
      </c>
    </row>
    <row r="5" spans="1:41" x14ac:dyDescent="0.2">
      <c r="AC5" t="s">
        <v>273</v>
      </c>
    </row>
    <row r="6" spans="1:41" x14ac:dyDescent="0.2">
      <c r="B6" t="s">
        <v>246</v>
      </c>
      <c r="I6" t="s">
        <v>247</v>
      </c>
      <c r="AC6" t="s">
        <v>274</v>
      </c>
      <c r="AD6" t="s">
        <v>276</v>
      </c>
      <c r="AE6" t="s">
        <v>276</v>
      </c>
      <c r="AF6" t="s">
        <v>276</v>
      </c>
      <c r="AG6" t="s">
        <v>276</v>
      </c>
      <c r="AH6" t="s">
        <v>276</v>
      </c>
      <c r="AI6" t="s">
        <v>276</v>
      </c>
      <c r="AJ6" t="s">
        <v>276</v>
      </c>
      <c r="AK6" t="s">
        <v>276</v>
      </c>
      <c r="AL6" t="s">
        <v>276</v>
      </c>
      <c r="AM6" t="s">
        <v>276</v>
      </c>
      <c r="AN6" t="s">
        <v>277</v>
      </c>
      <c r="AO6" t="s">
        <v>268</v>
      </c>
    </row>
    <row r="7" spans="1:41" x14ac:dyDescent="0.2">
      <c r="A7" t="s">
        <v>84</v>
      </c>
      <c r="B7" t="s">
        <v>85</v>
      </c>
      <c r="C7" t="s">
        <v>86</v>
      </c>
      <c r="E7" t="s">
        <v>87</v>
      </c>
      <c r="G7" t="s">
        <v>88</v>
      </c>
      <c r="I7" t="s">
        <v>85</v>
      </c>
      <c r="J7" t="s">
        <v>87</v>
      </c>
      <c r="L7" t="s">
        <v>88</v>
      </c>
      <c r="Q7" t="str">
        <f t="shared" ref="Q7:T22" si="0">I7</f>
        <v>tket</v>
      </c>
      <c r="R7" t="str">
        <f t="shared" si="0"/>
        <v>qsynth-f</v>
      </c>
      <c r="T7" t="str">
        <f t="shared" si="0"/>
        <v>qsynth-b</v>
      </c>
      <c r="V7" t="s">
        <v>267</v>
      </c>
      <c r="X7" t="s">
        <v>265</v>
      </c>
      <c r="Z7" t="s">
        <v>266</v>
      </c>
      <c r="AC7" t="str">
        <f>P7&amp;"&amp;"</f>
        <v>&amp;</v>
      </c>
      <c r="AD7" t="str">
        <f>"\textbf{"&amp;Q7&amp;"}&amp;"</f>
        <v>\textbf{tket}&amp;</v>
      </c>
      <c r="AE7" t="str">
        <f>"\multicolumn{2}{|l|}{\textbf{"&amp;R7&amp;"}}&amp;"</f>
        <v>\multicolumn{2}{|l|}{\textbf{qsynth-f}}&amp;</v>
      </c>
      <c r="AG7" t="str">
        <f>"\multicolumn{2}{|l|}{\textbf{"&amp;T7&amp;"}}&amp;"</f>
        <v>\multicolumn{2}{|l|}{\textbf{qsynth-b}}&amp;</v>
      </c>
      <c r="AI7" t="str">
        <f>"\multicolumn{2}{|l|}{\textbf{"&amp;V7&amp;"}}&amp;"</f>
        <v>\multicolumn{2}{|l|}{\textbf{Optimal}}&amp;</v>
      </c>
      <c r="AK7" t="str">
        <f>"\multicolumn{2}{|l|}{\textbf{"&amp;X7&amp;"}}&amp;"</f>
        <v>\multicolumn{2}{|l|}{\textbf{AStar-100}}&amp;</v>
      </c>
      <c r="AM7" t="str">
        <f>"\multicolumn{2}{|l|}{\textbf{"&amp;Z7&amp;"}}\\"</f>
        <v>\multicolumn{2}{|l|}{\textbf{Greedy}}\\</v>
      </c>
      <c r="AO7" t="s">
        <v>268</v>
      </c>
    </row>
    <row r="8" spans="1:41" x14ac:dyDescent="0.2">
      <c r="A8" t="s">
        <v>89</v>
      </c>
      <c r="B8" t="s">
        <v>90</v>
      </c>
      <c r="C8" t="s">
        <v>90</v>
      </c>
      <c r="D8" t="s">
        <v>91</v>
      </c>
      <c r="E8" t="s">
        <v>90</v>
      </c>
      <c r="F8" t="s">
        <v>91</v>
      </c>
      <c r="G8" t="s">
        <v>90</v>
      </c>
      <c r="H8" t="s">
        <v>91</v>
      </c>
      <c r="I8" t="s">
        <v>90</v>
      </c>
      <c r="J8" t="s">
        <v>90</v>
      </c>
      <c r="K8" t="s">
        <v>91</v>
      </c>
      <c r="L8" t="s">
        <v>90</v>
      </c>
      <c r="M8" t="s">
        <v>91</v>
      </c>
      <c r="P8" t="str">
        <f>A8</f>
        <v>instance</v>
      </c>
      <c r="Q8" t="str">
        <f t="shared" si="0"/>
        <v>m</v>
      </c>
      <c r="R8" t="str">
        <f t="shared" si="0"/>
        <v>m</v>
      </c>
      <c r="S8" t="str">
        <f t="shared" si="0"/>
        <v>t</v>
      </c>
      <c r="T8" t="str">
        <f t="shared" si="0"/>
        <v>m</v>
      </c>
      <c r="U8" t="str">
        <f t="shared" ref="U8:U33" si="1">M8</f>
        <v>t</v>
      </c>
      <c r="V8" t="s">
        <v>90</v>
      </c>
      <c r="W8" t="s">
        <v>91</v>
      </c>
      <c r="X8" t="s">
        <v>90</v>
      </c>
      <c r="Y8" t="s">
        <v>91</v>
      </c>
      <c r="Z8" t="s">
        <v>90</v>
      </c>
      <c r="AA8" t="s">
        <v>91</v>
      </c>
      <c r="AC8" t="str">
        <f t="shared" ref="AC8:AN8" si="2">"\textbf{"&amp;P8&amp;"}&amp;"</f>
        <v>\textbf{instance}&amp;</v>
      </c>
      <c r="AD8" t="str">
        <f t="shared" si="2"/>
        <v>\textbf{m}&amp;</v>
      </c>
      <c r="AE8" t="str">
        <f t="shared" si="2"/>
        <v>\textbf{m}&amp;</v>
      </c>
      <c r="AF8" t="str">
        <f t="shared" si="2"/>
        <v>\textbf{t}&amp;</v>
      </c>
      <c r="AG8" t="str">
        <f t="shared" si="2"/>
        <v>\textbf{m}&amp;</v>
      </c>
      <c r="AH8" t="str">
        <f t="shared" si="2"/>
        <v>\textbf{t}&amp;</v>
      </c>
      <c r="AI8" t="str">
        <f t="shared" si="2"/>
        <v>\textbf{m}&amp;</v>
      </c>
      <c r="AJ8" t="str">
        <f t="shared" si="2"/>
        <v>\textbf{t}&amp;</v>
      </c>
      <c r="AK8" t="str">
        <f t="shared" si="2"/>
        <v>\textbf{m}&amp;</v>
      </c>
      <c r="AL8" t="str">
        <f t="shared" si="2"/>
        <v>\textbf{t}&amp;</v>
      </c>
      <c r="AM8" t="str">
        <f t="shared" si="2"/>
        <v>\textbf{m}&amp;</v>
      </c>
      <c r="AN8" t="str">
        <f>"\textbf{"&amp;AA8&amp;"}\\"</f>
        <v>\textbf{t}\\</v>
      </c>
      <c r="AO8" t="s">
        <v>268</v>
      </c>
    </row>
    <row r="9" spans="1:41" x14ac:dyDescent="0.2">
      <c r="A9" t="s">
        <v>92</v>
      </c>
      <c r="B9">
        <v>4</v>
      </c>
      <c r="C9">
        <v>4</v>
      </c>
      <c r="D9">
        <v>1452.5</v>
      </c>
      <c r="E9">
        <v>4</v>
      </c>
      <c r="F9">
        <v>0.13</v>
      </c>
      <c r="G9">
        <v>4</v>
      </c>
      <c r="H9">
        <v>0.06</v>
      </c>
      <c r="I9">
        <v>2</v>
      </c>
      <c r="J9">
        <v>2</v>
      </c>
      <c r="K9" s="5">
        <v>0.1</v>
      </c>
      <c r="L9">
        <v>2</v>
      </c>
      <c r="M9" s="5">
        <v>0.09</v>
      </c>
      <c r="N9" s="5"/>
      <c r="O9" s="5"/>
      <c r="P9" t="str">
        <f t="shared" ref="P9:P33" si="3">A9</f>
        <v>3q05306</v>
      </c>
      <c r="Q9">
        <f t="shared" si="0"/>
        <v>2</v>
      </c>
      <c r="R9">
        <f t="shared" si="0"/>
        <v>2</v>
      </c>
      <c r="S9">
        <f t="shared" si="0"/>
        <v>0.1</v>
      </c>
      <c r="T9">
        <f t="shared" si="0"/>
        <v>2</v>
      </c>
      <c r="U9">
        <f t="shared" si="1"/>
        <v>0.09</v>
      </c>
      <c r="V9">
        <f ca="1">summ!AD11</f>
        <v>2</v>
      </c>
      <c r="W9" s="5">
        <f ca="1">summ!AR11</f>
        <v>1.0961707997921601E-2</v>
      </c>
      <c r="X9">
        <f ca="1">summ!R11</f>
        <v>2</v>
      </c>
      <c r="Y9" s="5">
        <f ca="1">summ!AF11</f>
        <v>0.36817837000000903</v>
      </c>
      <c r="Z9">
        <f ca="1">summ!T11</f>
        <v>2</v>
      </c>
      <c r="AA9" s="5">
        <f ca="1">summ!AH11</f>
        <v>0.304443262997665</v>
      </c>
      <c r="AC9" t="str">
        <f>P9&amp;"&amp;"</f>
        <v>3q05306&amp;</v>
      </c>
      <c r="AD9" t="str">
        <f>Q9&amp;"&amp;"</f>
        <v>2&amp;</v>
      </c>
      <c r="AE9" t="str">
        <f t="shared" ref="AE9:AN9" si="4">R9&amp;"&amp;"</f>
        <v>2&amp;</v>
      </c>
      <c r="AF9" t="str">
        <f>TEXT(S9,"0.0E+00")&amp;"&amp;"</f>
        <v>1.0E-01&amp;</v>
      </c>
      <c r="AG9" t="str">
        <f t="shared" si="4"/>
        <v>2&amp;</v>
      </c>
      <c r="AH9" t="str">
        <f>TEXT(U9,"0.0E+00")&amp;"&amp;"</f>
        <v>9.0E-02&amp;</v>
      </c>
      <c r="AI9" t="str">
        <f t="shared" ca="1" si="4"/>
        <v>2&amp;</v>
      </c>
      <c r="AJ9" t="str">
        <f ca="1">TEXT(W9,"0.0E+00")&amp;"&amp;"</f>
        <v>1.1E-02&amp;</v>
      </c>
      <c r="AK9" t="str">
        <f t="shared" ca="1" si="4"/>
        <v>2&amp;</v>
      </c>
      <c r="AL9" t="str">
        <f ca="1">TEXT(Y9,"0.0E+00")&amp;"&amp;"</f>
        <v>3.7E-01&amp;</v>
      </c>
      <c r="AM9" t="str">
        <f t="shared" ca="1" si="4"/>
        <v>2&amp;</v>
      </c>
      <c r="AN9" t="str">
        <f ca="1">TEXT(AA9,"0.0E+00")&amp;"\\"</f>
        <v>3.0E-01\\</v>
      </c>
    </row>
    <row r="10" spans="1:41" x14ac:dyDescent="0.2">
      <c r="A10" t="s">
        <v>93</v>
      </c>
      <c r="B10">
        <v>3</v>
      </c>
      <c r="C10">
        <v>3</v>
      </c>
      <c r="D10">
        <v>29.3</v>
      </c>
      <c r="E10">
        <v>3</v>
      </c>
      <c r="F10">
        <v>7.0000000000000007E-2</v>
      </c>
      <c r="G10">
        <v>3</v>
      </c>
      <c r="H10">
        <v>0.05</v>
      </c>
      <c r="I10">
        <v>3</v>
      </c>
      <c r="J10">
        <v>3</v>
      </c>
      <c r="K10" s="5">
        <v>7.0000000000000007E-2</v>
      </c>
      <c r="L10">
        <v>3</v>
      </c>
      <c r="M10" s="5">
        <v>0.06</v>
      </c>
      <c r="N10" s="5"/>
      <c r="O10" s="5"/>
      <c r="P10" t="str">
        <f t="shared" si="3"/>
        <v>3q33936</v>
      </c>
      <c r="Q10">
        <f t="shared" si="0"/>
        <v>3</v>
      </c>
      <c r="R10">
        <f t="shared" si="0"/>
        <v>3</v>
      </c>
      <c r="S10">
        <f t="shared" si="0"/>
        <v>7.0000000000000007E-2</v>
      </c>
      <c r="T10">
        <f t="shared" si="0"/>
        <v>3</v>
      </c>
      <c r="U10">
        <f t="shared" si="1"/>
        <v>0.06</v>
      </c>
      <c r="V10">
        <f ca="1">summ!AD12</f>
        <v>3</v>
      </c>
      <c r="W10" s="5">
        <f ca="1">summ!AR12</f>
        <v>1.35912499899859E-3</v>
      </c>
      <c r="X10">
        <f ca="1">summ!R12</f>
        <v>3</v>
      </c>
      <c r="Y10" s="5">
        <f ca="1">summ!AF12</f>
        <v>4.9601800000118601E-3</v>
      </c>
      <c r="Z10">
        <f ca="1">summ!T12</f>
        <v>3</v>
      </c>
      <c r="AA10" s="5">
        <f ca="1">summ!AH12</f>
        <v>6.43362199480179E-3</v>
      </c>
      <c r="AC10" t="str">
        <f t="shared" ref="AC10:AC33" si="5">P10&amp;"&amp;"</f>
        <v>3q33936&amp;</v>
      </c>
      <c r="AD10" t="str">
        <f t="shared" ref="AD10:AD33" si="6">Q10&amp;"&amp;"</f>
        <v>3&amp;</v>
      </c>
      <c r="AE10" t="str">
        <f t="shared" ref="AE10:AE33" si="7">R10&amp;"&amp;"</f>
        <v>3&amp;</v>
      </c>
      <c r="AF10" t="str">
        <f t="shared" ref="AF10:AF33" si="8">TEXT(S10,"0.0E+00")&amp;"&amp;"</f>
        <v>7.0E-02&amp;</v>
      </c>
      <c r="AG10" t="str">
        <f t="shared" ref="AG10:AG33" si="9">T10&amp;"&amp;"</f>
        <v>3&amp;</v>
      </c>
      <c r="AH10" t="str">
        <f t="shared" ref="AH10:AH33" si="10">TEXT(U10,"0.0E+00")&amp;"&amp;"</f>
        <v>6.0E-02&amp;</v>
      </c>
      <c r="AI10" t="str">
        <f t="shared" ref="AI10:AI33" ca="1" si="11">V10&amp;"&amp;"</f>
        <v>3&amp;</v>
      </c>
      <c r="AJ10" t="str">
        <f t="shared" ref="AJ10:AJ33" ca="1" si="12">TEXT(W10,"0.0E+00")&amp;"&amp;"</f>
        <v>1.4E-03&amp;</v>
      </c>
      <c r="AK10" t="str">
        <f t="shared" ref="AK10:AK33" ca="1" si="13">X10&amp;"&amp;"</f>
        <v>3&amp;</v>
      </c>
      <c r="AL10" t="str">
        <f t="shared" ref="AL10:AL33" ca="1" si="14">TEXT(Y10,"0.0E+00")&amp;"&amp;"</f>
        <v>5.0E-03&amp;</v>
      </c>
      <c r="AM10" t="str">
        <f t="shared" ref="AM10:AM33" ca="1" si="15">Z10&amp;"&amp;"</f>
        <v>3&amp;</v>
      </c>
      <c r="AN10" t="str">
        <f t="shared" ref="AN10:AN33" ca="1" si="16">TEXT(AA10,"0.0E+00")&amp;"\\"</f>
        <v>6.4E-03\\</v>
      </c>
    </row>
    <row r="11" spans="1:41" x14ac:dyDescent="0.2">
      <c r="A11" t="s">
        <v>94</v>
      </c>
      <c r="B11">
        <v>4</v>
      </c>
      <c r="C11">
        <v>4</v>
      </c>
      <c r="D11">
        <v>1804.7</v>
      </c>
      <c r="E11">
        <v>4</v>
      </c>
      <c r="F11">
        <v>0.08</v>
      </c>
      <c r="G11">
        <v>4</v>
      </c>
      <c r="H11">
        <v>0.05</v>
      </c>
      <c r="I11">
        <v>3</v>
      </c>
      <c r="J11">
        <v>3</v>
      </c>
      <c r="K11" s="5">
        <v>0.06</v>
      </c>
      <c r="L11">
        <v>3</v>
      </c>
      <c r="M11" s="5">
        <v>0.05</v>
      </c>
      <c r="N11" s="5"/>
      <c r="O11" s="5"/>
      <c r="P11" t="str">
        <f t="shared" si="3"/>
        <v>3q50494</v>
      </c>
      <c r="Q11">
        <f t="shared" si="0"/>
        <v>3</v>
      </c>
      <c r="R11">
        <f t="shared" si="0"/>
        <v>3</v>
      </c>
      <c r="S11">
        <f t="shared" si="0"/>
        <v>0.06</v>
      </c>
      <c r="T11">
        <f t="shared" si="0"/>
        <v>3</v>
      </c>
      <c r="U11">
        <f t="shared" si="1"/>
        <v>0.05</v>
      </c>
      <c r="V11">
        <f ca="1">summ!AD13</f>
        <v>3</v>
      </c>
      <c r="W11" s="5">
        <f ca="1">summ!AR13</f>
        <v>1.3523329980671399E-3</v>
      </c>
      <c r="X11">
        <f ca="1">summ!R13</f>
        <v>3</v>
      </c>
      <c r="Y11" s="5">
        <f ca="1">summ!AF13</f>
        <v>4.8348509999982499E-3</v>
      </c>
      <c r="Z11">
        <f ca="1">summ!T13</f>
        <v>3</v>
      </c>
      <c r="AA11" s="5">
        <f ca="1">summ!AH13</f>
        <v>6.1560260073747399E-3</v>
      </c>
      <c r="AC11" t="str">
        <f t="shared" si="5"/>
        <v>3q50494&amp;</v>
      </c>
      <c r="AD11" t="str">
        <f t="shared" si="6"/>
        <v>3&amp;</v>
      </c>
      <c r="AE11" t="str">
        <f t="shared" si="7"/>
        <v>3&amp;</v>
      </c>
      <c r="AF11" t="str">
        <f t="shared" si="8"/>
        <v>6.0E-02&amp;</v>
      </c>
      <c r="AG11" t="str">
        <f t="shared" si="9"/>
        <v>3&amp;</v>
      </c>
      <c r="AH11" t="str">
        <f t="shared" si="10"/>
        <v>5.0E-02&amp;</v>
      </c>
      <c r="AI11" t="str">
        <f t="shared" ca="1" si="11"/>
        <v>3&amp;</v>
      </c>
      <c r="AJ11" t="str">
        <f t="shared" ca="1" si="12"/>
        <v>1.4E-03&amp;</v>
      </c>
      <c r="AK11" t="str">
        <f t="shared" ca="1" si="13"/>
        <v>3&amp;</v>
      </c>
      <c r="AL11" t="str">
        <f t="shared" ca="1" si="14"/>
        <v>4.8E-03&amp;</v>
      </c>
      <c r="AM11" t="str">
        <f t="shared" ca="1" si="15"/>
        <v>3&amp;</v>
      </c>
      <c r="AN11" t="str">
        <f t="shared" ca="1" si="16"/>
        <v>6.2E-03\\</v>
      </c>
    </row>
    <row r="12" spans="1:41" x14ac:dyDescent="0.2">
      <c r="A12" t="s">
        <v>95</v>
      </c>
      <c r="B12">
        <v>3</v>
      </c>
      <c r="C12">
        <v>3</v>
      </c>
      <c r="D12">
        <v>77.2</v>
      </c>
      <c r="E12">
        <v>3</v>
      </c>
      <c r="F12">
        <v>0.06</v>
      </c>
      <c r="G12">
        <v>3</v>
      </c>
      <c r="H12">
        <v>0.04</v>
      </c>
      <c r="I12">
        <v>3</v>
      </c>
      <c r="J12">
        <v>3</v>
      </c>
      <c r="K12" s="5">
        <v>0.06</v>
      </c>
      <c r="L12">
        <v>3</v>
      </c>
      <c r="M12" s="5">
        <v>0.05</v>
      </c>
      <c r="N12" s="5"/>
      <c r="O12" s="5"/>
      <c r="P12" t="str">
        <f t="shared" si="3"/>
        <v>3q55125</v>
      </c>
      <c r="Q12">
        <f t="shared" si="0"/>
        <v>3</v>
      </c>
      <c r="R12">
        <f t="shared" si="0"/>
        <v>3</v>
      </c>
      <c r="S12">
        <f t="shared" si="0"/>
        <v>0.06</v>
      </c>
      <c r="T12">
        <f t="shared" si="0"/>
        <v>3</v>
      </c>
      <c r="U12">
        <f t="shared" si="1"/>
        <v>0.05</v>
      </c>
      <c r="V12">
        <f ca="1">summ!AD14</f>
        <v>3</v>
      </c>
      <c r="W12" s="5">
        <f ca="1">summ!AR14</f>
        <v>1.2819580006180301E-3</v>
      </c>
      <c r="X12">
        <f ca="1">summ!R14</f>
        <v>3</v>
      </c>
      <c r="Y12" s="5">
        <f ca="1">summ!AF14</f>
        <v>4.8701409999978296E-3</v>
      </c>
      <c r="Z12">
        <f ca="1">summ!T14</f>
        <v>3</v>
      </c>
      <c r="AA12" s="5">
        <f ca="1">summ!AH14</f>
        <v>6.3908250012900602E-3</v>
      </c>
      <c r="AC12" t="str">
        <f t="shared" si="5"/>
        <v>3q55125&amp;</v>
      </c>
      <c r="AD12" t="str">
        <f t="shared" si="6"/>
        <v>3&amp;</v>
      </c>
      <c r="AE12" t="str">
        <f t="shared" si="7"/>
        <v>3&amp;</v>
      </c>
      <c r="AF12" t="str">
        <f t="shared" si="8"/>
        <v>6.0E-02&amp;</v>
      </c>
      <c r="AG12" t="str">
        <f t="shared" si="9"/>
        <v>3&amp;</v>
      </c>
      <c r="AH12" t="str">
        <f t="shared" si="10"/>
        <v>5.0E-02&amp;</v>
      </c>
      <c r="AI12" t="str">
        <f t="shared" ca="1" si="11"/>
        <v>3&amp;</v>
      </c>
      <c r="AJ12" t="str">
        <f t="shared" ca="1" si="12"/>
        <v>1.3E-03&amp;</v>
      </c>
      <c r="AK12" t="str">
        <f t="shared" ca="1" si="13"/>
        <v>3&amp;</v>
      </c>
      <c r="AL12" t="str">
        <f t="shared" ca="1" si="14"/>
        <v>4.9E-03&amp;</v>
      </c>
      <c r="AM12" t="str">
        <f t="shared" ca="1" si="15"/>
        <v>3&amp;</v>
      </c>
      <c r="AN12" t="str">
        <f t="shared" ca="1" si="16"/>
        <v>6.4E-03\\</v>
      </c>
    </row>
    <row r="13" spans="1:41" x14ac:dyDescent="0.2">
      <c r="A13" t="s">
        <v>96</v>
      </c>
      <c r="B13">
        <v>4</v>
      </c>
      <c r="C13">
        <v>4</v>
      </c>
      <c r="D13">
        <v>1650.2</v>
      </c>
      <c r="E13">
        <v>4</v>
      </c>
      <c r="F13">
        <v>0.08</v>
      </c>
      <c r="G13">
        <v>4</v>
      </c>
      <c r="H13">
        <v>0.05</v>
      </c>
      <c r="I13">
        <v>3</v>
      </c>
      <c r="J13">
        <v>3</v>
      </c>
      <c r="K13" s="5">
        <v>0.06</v>
      </c>
      <c r="L13">
        <v>3</v>
      </c>
      <c r="M13" s="5">
        <v>0.05</v>
      </c>
      <c r="N13" s="5"/>
      <c r="O13" s="5"/>
      <c r="P13" t="str">
        <f t="shared" si="3"/>
        <v>3q99346</v>
      </c>
      <c r="Q13">
        <f t="shared" si="0"/>
        <v>3</v>
      </c>
      <c r="R13">
        <f t="shared" si="0"/>
        <v>3</v>
      </c>
      <c r="S13">
        <f t="shared" si="0"/>
        <v>0.06</v>
      </c>
      <c r="T13">
        <f t="shared" si="0"/>
        <v>3</v>
      </c>
      <c r="U13">
        <f t="shared" si="1"/>
        <v>0.05</v>
      </c>
      <c r="V13">
        <f ca="1">summ!AD15</f>
        <v>3</v>
      </c>
      <c r="W13" s="5">
        <f ca="1">summ!AR15</f>
        <v>1.0659170002327301E-3</v>
      </c>
      <c r="X13">
        <f ca="1">summ!R15</f>
        <v>3</v>
      </c>
      <c r="Y13" s="5">
        <f ca="1">summ!AF15</f>
        <v>4.9422980000031203E-3</v>
      </c>
      <c r="Z13">
        <f ca="1">summ!T15</f>
        <v>3</v>
      </c>
      <c r="AA13" s="5">
        <f ca="1">summ!AH15</f>
        <v>6.3140029960777602E-3</v>
      </c>
      <c r="AC13" t="str">
        <f t="shared" si="5"/>
        <v>3q99346&amp;</v>
      </c>
      <c r="AD13" t="str">
        <f t="shared" si="6"/>
        <v>3&amp;</v>
      </c>
      <c r="AE13" t="str">
        <f t="shared" si="7"/>
        <v>3&amp;</v>
      </c>
      <c r="AF13" t="str">
        <f t="shared" si="8"/>
        <v>6.0E-02&amp;</v>
      </c>
      <c r="AG13" t="str">
        <f t="shared" si="9"/>
        <v>3&amp;</v>
      </c>
      <c r="AH13" t="str">
        <f t="shared" si="10"/>
        <v>5.0E-02&amp;</v>
      </c>
      <c r="AI13" t="str">
        <f t="shared" ca="1" si="11"/>
        <v>3&amp;</v>
      </c>
      <c r="AJ13" t="str">
        <f t="shared" ca="1" si="12"/>
        <v>1.1E-03&amp;</v>
      </c>
      <c r="AK13" t="str">
        <f t="shared" ca="1" si="13"/>
        <v>3&amp;</v>
      </c>
      <c r="AL13" t="str">
        <f t="shared" ca="1" si="14"/>
        <v>4.9E-03&amp;</v>
      </c>
      <c r="AM13" t="str">
        <f t="shared" ca="1" si="15"/>
        <v>3&amp;</v>
      </c>
      <c r="AN13" t="str">
        <f t="shared" ca="1" si="16"/>
        <v>6.3E-03\\</v>
      </c>
    </row>
    <row r="14" spans="1:41" x14ac:dyDescent="0.2">
      <c r="A14" t="s">
        <v>97</v>
      </c>
      <c r="B14">
        <v>6</v>
      </c>
      <c r="C14" t="s">
        <v>98</v>
      </c>
      <c r="D14" t="s">
        <v>99</v>
      </c>
      <c r="E14">
        <v>6</v>
      </c>
      <c r="F14">
        <v>0.2</v>
      </c>
      <c r="G14">
        <v>6</v>
      </c>
      <c r="H14">
        <v>0.12</v>
      </c>
      <c r="I14">
        <v>6</v>
      </c>
      <c r="J14">
        <v>5</v>
      </c>
      <c r="K14" s="5">
        <v>0.44</v>
      </c>
      <c r="L14">
        <v>5</v>
      </c>
      <c r="M14" s="5">
        <v>0.5</v>
      </c>
      <c r="N14" s="5"/>
      <c r="O14" s="5"/>
      <c r="P14" t="str">
        <f t="shared" si="3"/>
        <v>4q05306</v>
      </c>
      <c r="Q14">
        <f t="shared" si="0"/>
        <v>6</v>
      </c>
      <c r="R14">
        <f t="shared" si="0"/>
        <v>5</v>
      </c>
      <c r="S14">
        <f t="shared" si="0"/>
        <v>0.44</v>
      </c>
      <c r="T14">
        <f t="shared" si="0"/>
        <v>5</v>
      </c>
      <c r="U14">
        <f t="shared" si="1"/>
        <v>0.5</v>
      </c>
      <c r="V14">
        <f ca="1">summ!AD16</f>
        <v>5</v>
      </c>
      <c r="W14" s="5">
        <f ca="1">summ!AR16</f>
        <v>2.8326659994490902E-3</v>
      </c>
      <c r="X14">
        <f ca="1">summ!R16</f>
        <v>5</v>
      </c>
      <c r="Y14" s="5">
        <f ca="1">summ!AF16</f>
        <v>0.20923710900001399</v>
      </c>
      <c r="Z14">
        <f ca="1">summ!T16</f>
        <v>5</v>
      </c>
      <c r="AA14" s="5">
        <f ca="1">summ!AH16</f>
        <v>1.9167532998835599E-2</v>
      </c>
      <c r="AC14" t="str">
        <f t="shared" si="5"/>
        <v>4q05306&amp;</v>
      </c>
      <c r="AD14" t="str">
        <f t="shared" si="6"/>
        <v>6&amp;</v>
      </c>
      <c r="AE14" t="str">
        <f t="shared" si="7"/>
        <v>5&amp;</v>
      </c>
      <c r="AF14" t="str">
        <f t="shared" si="8"/>
        <v>4.4E-01&amp;</v>
      </c>
      <c r="AG14" t="str">
        <f t="shared" si="9"/>
        <v>5&amp;</v>
      </c>
      <c r="AH14" t="str">
        <f t="shared" si="10"/>
        <v>5.0E-01&amp;</v>
      </c>
      <c r="AI14" t="str">
        <f t="shared" ca="1" si="11"/>
        <v>5&amp;</v>
      </c>
      <c r="AJ14" t="str">
        <f t="shared" ca="1" si="12"/>
        <v>2.8E-03&amp;</v>
      </c>
      <c r="AK14" t="str">
        <f t="shared" ca="1" si="13"/>
        <v>5&amp;</v>
      </c>
      <c r="AL14" t="str">
        <f t="shared" ca="1" si="14"/>
        <v>2.1E-01&amp;</v>
      </c>
      <c r="AM14" t="str">
        <f t="shared" ca="1" si="15"/>
        <v>5&amp;</v>
      </c>
      <c r="AN14" t="str">
        <f t="shared" ca="1" si="16"/>
        <v>1.9E-02\\</v>
      </c>
    </row>
    <row r="15" spans="1:41" x14ac:dyDescent="0.2">
      <c r="A15" t="s">
        <v>100</v>
      </c>
      <c r="B15">
        <v>8</v>
      </c>
      <c r="C15" t="s">
        <v>98</v>
      </c>
      <c r="D15" t="s">
        <v>99</v>
      </c>
      <c r="E15">
        <v>6</v>
      </c>
      <c r="F15">
        <v>0.38</v>
      </c>
      <c r="G15">
        <v>6</v>
      </c>
      <c r="H15">
        <v>0.31</v>
      </c>
      <c r="I15">
        <v>8</v>
      </c>
      <c r="J15">
        <v>5</v>
      </c>
      <c r="K15" s="5">
        <v>0.35</v>
      </c>
      <c r="L15">
        <v>5</v>
      </c>
      <c r="M15" s="5">
        <v>0.71</v>
      </c>
      <c r="N15" s="5"/>
      <c r="O15" s="5"/>
      <c r="P15" t="str">
        <f t="shared" si="3"/>
        <v>4q33936</v>
      </c>
      <c r="Q15">
        <f t="shared" si="0"/>
        <v>8</v>
      </c>
      <c r="R15">
        <f t="shared" si="0"/>
        <v>5</v>
      </c>
      <c r="S15">
        <f t="shared" si="0"/>
        <v>0.35</v>
      </c>
      <c r="T15">
        <f t="shared" si="0"/>
        <v>5</v>
      </c>
      <c r="U15">
        <f t="shared" si="1"/>
        <v>0.71</v>
      </c>
      <c r="V15">
        <f ca="1">summ!AD17</f>
        <v>5</v>
      </c>
      <c r="W15" s="5">
        <f ca="1">summ!AR17</f>
        <v>1.15045900020049E-3</v>
      </c>
      <c r="X15">
        <f ca="1">summ!R17</f>
        <v>5</v>
      </c>
      <c r="Y15" s="5">
        <f ca="1">summ!AF17</f>
        <v>0.20583971799999201</v>
      </c>
      <c r="Z15">
        <f ca="1">summ!T17</f>
        <v>5</v>
      </c>
      <c r="AA15" s="5">
        <f ca="1">summ!AH17</f>
        <v>1.6144929002621201E-2</v>
      </c>
      <c r="AC15" t="str">
        <f t="shared" si="5"/>
        <v>4q33936&amp;</v>
      </c>
      <c r="AD15" t="str">
        <f t="shared" si="6"/>
        <v>8&amp;</v>
      </c>
      <c r="AE15" t="str">
        <f t="shared" si="7"/>
        <v>5&amp;</v>
      </c>
      <c r="AF15" t="str">
        <f t="shared" si="8"/>
        <v>3.5E-01&amp;</v>
      </c>
      <c r="AG15" t="str">
        <f t="shared" si="9"/>
        <v>5&amp;</v>
      </c>
      <c r="AH15" t="str">
        <f t="shared" si="10"/>
        <v>7.1E-01&amp;</v>
      </c>
      <c r="AI15" t="str">
        <f t="shared" ca="1" si="11"/>
        <v>5&amp;</v>
      </c>
      <c r="AJ15" t="str">
        <f t="shared" ca="1" si="12"/>
        <v>1.2E-03&amp;</v>
      </c>
      <c r="AK15" t="str">
        <f t="shared" ca="1" si="13"/>
        <v>5&amp;</v>
      </c>
      <c r="AL15" t="str">
        <f t="shared" ca="1" si="14"/>
        <v>2.1E-01&amp;</v>
      </c>
      <c r="AM15" t="str">
        <f t="shared" ca="1" si="15"/>
        <v>5&amp;</v>
      </c>
      <c r="AN15" t="str">
        <f t="shared" ca="1" si="16"/>
        <v>1.6E-02\\</v>
      </c>
    </row>
    <row r="16" spans="1:41" x14ac:dyDescent="0.2">
      <c r="A16" t="s">
        <v>101</v>
      </c>
      <c r="B16">
        <v>7</v>
      </c>
      <c r="C16" t="s">
        <v>98</v>
      </c>
      <c r="D16" t="s">
        <v>99</v>
      </c>
      <c r="E16">
        <v>7</v>
      </c>
      <c r="F16">
        <v>0.49</v>
      </c>
      <c r="G16">
        <v>7</v>
      </c>
      <c r="H16">
        <v>0.38</v>
      </c>
      <c r="I16">
        <v>4</v>
      </c>
      <c r="J16">
        <v>4</v>
      </c>
      <c r="K16" s="5">
        <v>0.1</v>
      </c>
      <c r="L16">
        <v>4</v>
      </c>
      <c r="M16" s="5">
        <v>7.0000000000000007E-2</v>
      </c>
      <c r="N16" s="5"/>
      <c r="O16" s="5"/>
      <c r="P16" t="str">
        <f t="shared" si="3"/>
        <v>4q50494</v>
      </c>
      <c r="Q16">
        <f t="shared" si="0"/>
        <v>4</v>
      </c>
      <c r="R16">
        <f t="shared" si="0"/>
        <v>4</v>
      </c>
      <c r="S16">
        <f t="shared" si="0"/>
        <v>0.1</v>
      </c>
      <c r="T16">
        <f t="shared" si="0"/>
        <v>4</v>
      </c>
      <c r="U16">
        <f t="shared" si="1"/>
        <v>7.0000000000000007E-2</v>
      </c>
      <c r="V16">
        <f ca="1">summ!AD18</f>
        <v>4</v>
      </c>
      <c r="W16" s="5">
        <f ca="1">summ!AR18</f>
        <v>1.1724590003723201E-3</v>
      </c>
      <c r="X16">
        <f ca="1">summ!R18</f>
        <v>4</v>
      </c>
      <c r="Y16" s="5">
        <f ca="1">summ!AF18</f>
        <v>8.7001260000079093E-3</v>
      </c>
      <c r="Z16">
        <f ca="1">summ!T18</f>
        <v>4</v>
      </c>
      <c r="AA16" s="5">
        <f ca="1">summ!AH18</f>
        <v>1.01809269981458E-2</v>
      </c>
      <c r="AC16" t="str">
        <f t="shared" si="5"/>
        <v>4q50494&amp;</v>
      </c>
      <c r="AD16" t="str">
        <f t="shared" si="6"/>
        <v>4&amp;</v>
      </c>
      <c r="AE16" t="str">
        <f t="shared" si="7"/>
        <v>4&amp;</v>
      </c>
      <c r="AF16" t="str">
        <f t="shared" si="8"/>
        <v>1.0E-01&amp;</v>
      </c>
      <c r="AG16" t="str">
        <f t="shared" si="9"/>
        <v>4&amp;</v>
      </c>
      <c r="AH16" t="str">
        <f t="shared" si="10"/>
        <v>7.0E-02&amp;</v>
      </c>
      <c r="AI16" t="str">
        <f t="shared" ca="1" si="11"/>
        <v>4&amp;</v>
      </c>
      <c r="AJ16" t="str">
        <f t="shared" ca="1" si="12"/>
        <v>1.2E-03&amp;</v>
      </c>
      <c r="AK16" t="str">
        <f t="shared" ca="1" si="13"/>
        <v>4&amp;</v>
      </c>
      <c r="AL16" t="str">
        <f t="shared" ca="1" si="14"/>
        <v>8.7E-03&amp;</v>
      </c>
      <c r="AM16" t="str">
        <f t="shared" ca="1" si="15"/>
        <v>4&amp;</v>
      </c>
      <c r="AN16" t="str">
        <f t="shared" ca="1" si="16"/>
        <v>1.0E-02\\</v>
      </c>
      <c r="AO16" s="3"/>
    </row>
    <row r="17" spans="1:41" x14ac:dyDescent="0.2">
      <c r="A17" t="s">
        <v>102</v>
      </c>
      <c r="B17">
        <v>6</v>
      </c>
      <c r="C17" t="s">
        <v>98</v>
      </c>
      <c r="D17" t="s">
        <v>99</v>
      </c>
      <c r="E17">
        <v>6</v>
      </c>
      <c r="F17">
        <v>0.18</v>
      </c>
      <c r="G17">
        <v>6</v>
      </c>
      <c r="H17">
        <v>0.11</v>
      </c>
      <c r="I17">
        <v>6</v>
      </c>
      <c r="J17">
        <v>5</v>
      </c>
      <c r="K17" s="5">
        <v>0.43</v>
      </c>
      <c r="L17">
        <v>5</v>
      </c>
      <c r="M17" s="5">
        <v>0.33</v>
      </c>
      <c r="N17" s="5"/>
      <c r="O17" s="5"/>
      <c r="P17" t="str">
        <f t="shared" si="3"/>
        <v>4q55125</v>
      </c>
      <c r="Q17">
        <f t="shared" si="0"/>
        <v>6</v>
      </c>
      <c r="R17">
        <f t="shared" si="0"/>
        <v>5</v>
      </c>
      <c r="S17">
        <f t="shared" si="0"/>
        <v>0.43</v>
      </c>
      <c r="T17">
        <f t="shared" si="0"/>
        <v>5</v>
      </c>
      <c r="U17">
        <f t="shared" si="1"/>
        <v>0.33</v>
      </c>
      <c r="V17">
        <f ca="1">summ!AD19</f>
        <v>5</v>
      </c>
      <c r="W17" s="5">
        <f ca="1">summ!AR19</f>
        <v>1.12441699820919E-3</v>
      </c>
      <c r="X17">
        <f ca="1">summ!R19</f>
        <v>5</v>
      </c>
      <c r="Y17" s="5">
        <f ca="1">summ!AF19</f>
        <v>0.20000193800001301</v>
      </c>
      <c r="Z17">
        <f ca="1">summ!T19</f>
        <v>6</v>
      </c>
      <c r="AA17" s="5">
        <f ca="1">summ!AH19</f>
        <v>1.9910293005523199E-2</v>
      </c>
      <c r="AC17" t="str">
        <f t="shared" si="5"/>
        <v>4q55125&amp;</v>
      </c>
      <c r="AD17" t="str">
        <f t="shared" si="6"/>
        <v>6&amp;</v>
      </c>
      <c r="AE17" t="str">
        <f t="shared" si="7"/>
        <v>5&amp;</v>
      </c>
      <c r="AF17" t="str">
        <f t="shared" si="8"/>
        <v>4.3E-01&amp;</v>
      </c>
      <c r="AG17" t="str">
        <f t="shared" si="9"/>
        <v>5&amp;</v>
      </c>
      <c r="AH17" t="str">
        <f t="shared" si="10"/>
        <v>3.3E-01&amp;</v>
      </c>
      <c r="AI17" t="str">
        <f t="shared" ca="1" si="11"/>
        <v>5&amp;</v>
      </c>
      <c r="AJ17" t="str">
        <f t="shared" ca="1" si="12"/>
        <v>1.1E-03&amp;</v>
      </c>
      <c r="AK17" t="str">
        <f t="shared" ca="1" si="13"/>
        <v>5&amp;</v>
      </c>
      <c r="AL17" t="str">
        <f t="shared" ca="1" si="14"/>
        <v>2.0E-01&amp;</v>
      </c>
      <c r="AM17" t="str">
        <f t="shared" ca="1" si="15"/>
        <v>6&amp;</v>
      </c>
      <c r="AN17" t="str">
        <f t="shared" ca="1" si="16"/>
        <v>2.0E-02\\</v>
      </c>
      <c r="AO17" s="3"/>
    </row>
    <row r="18" spans="1:41" x14ac:dyDescent="0.2">
      <c r="A18" t="s">
        <v>103</v>
      </c>
      <c r="B18">
        <v>7</v>
      </c>
      <c r="C18" t="s">
        <v>98</v>
      </c>
      <c r="D18" t="s">
        <v>99</v>
      </c>
      <c r="E18">
        <v>5</v>
      </c>
      <c r="F18">
        <v>0.19</v>
      </c>
      <c r="G18">
        <v>5</v>
      </c>
      <c r="H18">
        <v>0.25</v>
      </c>
      <c r="I18">
        <v>6</v>
      </c>
      <c r="J18">
        <v>5</v>
      </c>
      <c r="K18" s="5">
        <v>0.43</v>
      </c>
      <c r="L18">
        <v>5</v>
      </c>
      <c r="M18" s="5">
        <v>0.35</v>
      </c>
      <c r="N18" s="5"/>
      <c r="O18" s="5"/>
      <c r="P18" t="str">
        <f t="shared" si="3"/>
        <v>4q99346</v>
      </c>
      <c r="Q18">
        <f t="shared" si="0"/>
        <v>6</v>
      </c>
      <c r="R18">
        <f t="shared" si="0"/>
        <v>5</v>
      </c>
      <c r="S18">
        <f t="shared" si="0"/>
        <v>0.43</v>
      </c>
      <c r="T18">
        <f t="shared" si="0"/>
        <v>5</v>
      </c>
      <c r="U18">
        <f t="shared" si="1"/>
        <v>0.35</v>
      </c>
      <c r="V18">
        <f ca="1">summ!AD20</f>
        <v>5</v>
      </c>
      <c r="W18" s="5">
        <f ca="1">summ!AR20</f>
        <v>1.2007080003968401E-3</v>
      </c>
      <c r="X18">
        <f ca="1">summ!R20</f>
        <v>5</v>
      </c>
      <c r="Y18" s="5">
        <f ca="1">summ!AF20</f>
        <v>0.218461461999993</v>
      </c>
      <c r="Z18">
        <f ca="1">summ!T20</f>
        <v>5</v>
      </c>
      <c r="AA18" s="5">
        <f ca="1">summ!AH20</f>
        <v>1.6706431997590698E-2</v>
      </c>
      <c r="AC18" t="str">
        <f t="shared" si="5"/>
        <v>4q99346&amp;</v>
      </c>
      <c r="AD18" t="str">
        <f t="shared" si="6"/>
        <v>6&amp;</v>
      </c>
      <c r="AE18" t="str">
        <f t="shared" si="7"/>
        <v>5&amp;</v>
      </c>
      <c r="AF18" t="str">
        <f t="shared" si="8"/>
        <v>4.3E-01&amp;</v>
      </c>
      <c r="AG18" t="str">
        <f t="shared" si="9"/>
        <v>5&amp;</v>
      </c>
      <c r="AH18" t="str">
        <f t="shared" si="10"/>
        <v>3.5E-01&amp;</v>
      </c>
      <c r="AI18" t="str">
        <f t="shared" ca="1" si="11"/>
        <v>5&amp;</v>
      </c>
      <c r="AJ18" t="str">
        <f t="shared" ca="1" si="12"/>
        <v>1.2E-03&amp;</v>
      </c>
      <c r="AK18" t="str">
        <f t="shared" ca="1" si="13"/>
        <v>5&amp;</v>
      </c>
      <c r="AL18" t="str">
        <f t="shared" ca="1" si="14"/>
        <v>2.2E-01&amp;</v>
      </c>
      <c r="AM18" t="str">
        <f t="shared" ca="1" si="15"/>
        <v>5&amp;</v>
      </c>
      <c r="AN18" t="str">
        <f t="shared" ca="1" si="16"/>
        <v>1.7E-02\\</v>
      </c>
      <c r="AO18" s="3"/>
    </row>
    <row r="19" spans="1:41" s="3" customFormat="1" x14ac:dyDescent="0.2">
      <c r="A19" s="3" t="s">
        <v>104</v>
      </c>
      <c r="B19" s="3">
        <v>12</v>
      </c>
      <c r="C19" s="3" t="s">
        <v>98</v>
      </c>
      <c r="D19" s="3" t="s">
        <v>99</v>
      </c>
      <c r="E19" s="3">
        <v>8</v>
      </c>
      <c r="F19" s="3">
        <v>4.74</v>
      </c>
      <c r="G19" s="3">
        <v>8</v>
      </c>
      <c r="H19" s="3">
        <v>14.1</v>
      </c>
      <c r="I19" s="3">
        <v>11</v>
      </c>
      <c r="J19" s="3">
        <v>8</v>
      </c>
      <c r="K19" s="6">
        <v>34.93</v>
      </c>
      <c r="L19" s="3">
        <v>8</v>
      </c>
      <c r="M19" s="6">
        <v>151.19999999999999</v>
      </c>
      <c r="N19" s="6"/>
      <c r="O19" s="6"/>
      <c r="P19" t="str">
        <f t="shared" si="3"/>
        <v>5q05306</v>
      </c>
      <c r="Q19">
        <f t="shared" si="0"/>
        <v>11</v>
      </c>
      <c r="R19">
        <f t="shared" si="0"/>
        <v>8</v>
      </c>
      <c r="S19">
        <f t="shared" si="0"/>
        <v>34.93</v>
      </c>
      <c r="T19">
        <f t="shared" si="0"/>
        <v>8</v>
      </c>
      <c r="U19">
        <f t="shared" si="1"/>
        <v>151.19999999999999</v>
      </c>
      <c r="V19">
        <f ca="1">summ!AD21</f>
        <v>8</v>
      </c>
      <c r="W19" s="5">
        <f ca="1">summ!AR21</f>
        <v>4.9482920003356403E-3</v>
      </c>
      <c r="X19">
        <f ca="1">summ!R21</f>
        <v>8</v>
      </c>
      <c r="Y19" s="5">
        <f ca="1">summ!AF21</f>
        <v>2.7661903259999798</v>
      </c>
      <c r="Z19">
        <f ca="1">summ!T21</f>
        <v>8</v>
      </c>
      <c r="AA19" s="5">
        <f ca="1">summ!AH21</f>
        <v>3.57368319964734E-2</v>
      </c>
      <c r="AC19" t="str">
        <f t="shared" si="5"/>
        <v>5q05306&amp;</v>
      </c>
      <c r="AD19" t="str">
        <f t="shared" si="6"/>
        <v>11&amp;</v>
      </c>
      <c r="AE19" t="str">
        <f t="shared" si="7"/>
        <v>8&amp;</v>
      </c>
      <c r="AF19" t="str">
        <f t="shared" si="8"/>
        <v>3.5E+01&amp;</v>
      </c>
      <c r="AG19" t="str">
        <f t="shared" si="9"/>
        <v>8&amp;</v>
      </c>
      <c r="AH19" t="str">
        <f t="shared" si="10"/>
        <v>1.5E+02&amp;</v>
      </c>
      <c r="AI19" t="str">
        <f t="shared" ca="1" si="11"/>
        <v>8&amp;</v>
      </c>
      <c r="AJ19" t="str">
        <f t="shared" ca="1" si="12"/>
        <v>4.9E-03&amp;</v>
      </c>
      <c r="AK19" t="str">
        <f t="shared" ca="1" si="13"/>
        <v>8&amp;</v>
      </c>
      <c r="AL19" t="str">
        <f t="shared" ca="1" si="14"/>
        <v>2.8E+00&amp;</v>
      </c>
      <c r="AM19" t="str">
        <f t="shared" ca="1" si="15"/>
        <v>8&amp;</v>
      </c>
      <c r="AN19" t="str">
        <f t="shared" ca="1" si="16"/>
        <v>3.6E-02\\</v>
      </c>
    </row>
    <row r="20" spans="1:41" s="3" customFormat="1" x14ac:dyDescent="0.2">
      <c r="A20" s="3" t="s">
        <v>105</v>
      </c>
      <c r="B20" s="3">
        <v>13</v>
      </c>
      <c r="C20" s="3" t="s">
        <v>98</v>
      </c>
      <c r="D20" s="3" t="s">
        <v>99</v>
      </c>
      <c r="E20" s="3">
        <v>9</v>
      </c>
      <c r="F20" s="3">
        <v>11.7</v>
      </c>
      <c r="G20" s="3">
        <v>9</v>
      </c>
      <c r="H20" s="3">
        <v>33.44</v>
      </c>
      <c r="I20" s="3">
        <v>10</v>
      </c>
      <c r="J20" s="3">
        <v>8</v>
      </c>
      <c r="K20" s="6">
        <v>34.35</v>
      </c>
      <c r="L20" s="3">
        <v>8</v>
      </c>
      <c r="M20" s="6">
        <v>126.5</v>
      </c>
      <c r="N20" s="6"/>
      <c r="O20" s="6"/>
      <c r="P20" t="str">
        <f t="shared" si="3"/>
        <v>5q33936</v>
      </c>
      <c r="Q20">
        <f t="shared" si="0"/>
        <v>10</v>
      </c>
      <c r="R20">
        <f t="shared" si="0"/>
        <v>8</v>
      </c>
      <c r="S20">
        <f t="shared" si="0"/>
        <v>34.35</v>
      </c>
      <c r="T20">
        <f t="shared" si="0"/>
        <v>8</v>
      </c>
      <c r="U20">
        <f t="shared" si="1"/>
        <v>126.5</v>
      </c>
      <c r="V20">
        <f ca="1">summ!AD22</f>
        <v>8</v>
      </c>
      <c r="W20" s="5">
        <f ca="1">summ!AR22</f>
        <v>3.4676670002227101E-3</v>
      </c>
      <c r="X20">
        <f ca="1">summ!R22</f>
        <v>8</v>
      </c>
      <c r="Y20" s="5">
        <f ca="1">summ!AF22</f>
        <v>2.6938771800000101</v>
      </c>
      <c r="Z20">
        <f ca="1">summ!T22</f>
        <v>9</v>
      </c>
      <c r="AA20" s="5">
        <f ca="1">summ!AH22</f>
        <v>4.6923148998757797E-2</v>
      </c>
      <c r="AC20" t="str">
        <f t="shared" si="5"/>
        <v>5q33936&amp;</v>
      </c>
      <c r="AD20" t="str">
        <f t="shared" si="6"/>
        <v>10&amp;</v>
      </c>
      <c r="AE20" t="str">
        <f t="shared" si="7"/>
        <v>8&amp;</v>
      </c>
      <c r="AF20" t="str">
        <f t="shared" si="8"/>
        <v>3.4E+01&amp;</v>
      </c>
      <c r="AG20" t="str">
        <f t="shared" si="9"/>
        <v>8&amp;</v>
      </c>
      <c r="AH20" t="str">
        <f t="shared" si="10"/>
        <v>1.3E+02&amp;</v>
      </c>
      <c r="AI20" t="str">
        <f t="shared" ca="1" si="11"/>
        <v>8&amp;</v>
      </c>
      <c r="AJ20" t="str">
        <f t="shared" ca="1" si="12"/>
        <v>3.5E-03&amp;</v>
      </c>
      <c r="AK20" t="str">
        <f t="shared" ca="1" si="13"/>
        <v>8&amp;</v>
      </c>
      <c r="AL20" t="str">
        <f t="shared" ca="1" si="14"/>
        <v>2.7E+00&amp;</v>
      </c>
      <c r="AM20" t="str">
        <f t="shared" ca="1" si="15"/>
        <v>9&amp;</v>
      </c>
      <c r="AN20" t="str">
        <f t="shared" ca="1" si="16"/>
        <v>4.7E-02\\</v>
      </c>
    </row>
    <row r="21" spans="1:41" s="3" customFormat="1" x14ac:dyDescent="0.2">
      <c r="A21" s="3" t="s">
        <v>106</v>
      </c>
      <c r="B21" s="3">
        <v>17</v>
      </c>
      <c r="C21" s="3" t="s">
        <v>98</v>
      </c>
      <c r="D21" s="3" t="s">
        <v>99</v>
      </c>
      <c r="E21" s="3">
        <v>8</v>
      </c>
      <c r="F21" s="3">
        <v>4.03</v>
      </c>
      <c r="G21" s="3">
        <v>8</v>
      </c>
      <c r="H21" s="3">
        <v>36.89</v>
      </c>
      <c r="I21" s="3">
        <v>11</v>
      </c>
      <c r="J21" s="3">
        <v>7</v>
      </c>
      <c r="K21" s="6">
        <v>22.35</v>
      </c>
      <c r="L21" s="3">
        <v>7</v>
      </c>
      <c r="M21" s="6">
        <v>56.6</v>
      </c>
      <c r="N21" s="6"/>
      <c r="O21" s="6"/>
      <c r="P21" t="str">
        <f t="shared" si="3"/>
        <v>5q50494</v>
      </c>
      <c r="Q21">
        <f t="shared" si="0"/>
        <v>11</v>
      </c>
      <c r="R21">
        <f t="shared" si="0"/>
        <v>7</v>
      </c>
      <c r="S21">
        <f t="shared" si="0"/>
        <v>22.35</v>
      </c>
      <c r="T21">
        <f t="shared" si="0"/>
        <v>7</v>
      </c>
      <c r="U21">
        <f t="shared" si="1"/>
        <v>56.6</v>
      </c>
      <c r="V21">
        <f ca="1">summ!AD23</f>
        <v>7</v>
      </c>
      <c r="W21" s="5">
        <f ca="1">summ!AR23</f>
        <v>2.9669579998880999E-3</v>
      </c>
      <c r="X21">
        <f ca="1">summ!R23</f>
        <v>7</v>
      </c>
      <c r="Y21" s="5">
        <f ca="1">summ!AF23</f>
        <v>1.39974271400001</v>
      </c>
      <c r="Z21">
        <f ca="1">summ!T23</f>
        <v>8</v>
      </c>
      <c r="AA21" s="5">
        <f ca="1">summ!AH23</f>
        <v>3.6019431994645801E-2</v>
      </c>
      <c r="AC21" t="str">
        <f t="shared" si="5"/>
        <v>5q50494&amp;</v>
      </c>
      <c r="AD21" t="str">
        <f t="shared" si="6"/>
        <v>11&amp;</v>
      </c>
      <c r="AE21" t="str">
        <f t="shared" si="7"/>
        <v>7&amp;</v>
      </c>
      <c r="AF21" t="str">
        <f t="shared" si="8"/>
        <v>2.2E+01&amp;</v>
      </c>
      <c r="AG21" t="str">
        <f t="shared" si="9"/>
        <v>7&amp;</v>
      </c>
      <c r="AH21" t="str">
        <f t="shared" si="10"/>
        <v>5.7E+01&amp;</v>
      </c>
      <c r="AI21" t="str">
        <f t="shared" ca="1" si="11"/>
        <v>7&amp;</v>
      </c>
      <c r="AJ21" t="str">
        <f t="shared" ca="1" si="12"/>
        <v>3.0E-03&amp;</v>
      </c>
      <c r="AK21" t="str">
        <f t="shared" ca="1" si="13"/>
        <v>7&amp;</v>
      </c>
      <c r="AL21" t="str">
        <f t="shared" ca="1" si="14"/>
        <v>1.4E+00&amp;</v>
      </c>
      <c r="AM21" t="str">
        <f t="shared" ca="1" si="15"/>
        <v>8&amp;</v>
      </c>
      <c r="AN21" t="str">
        <f t="shared" ca="1" si="16"/>
        <v>3.6E-02\\</v>
      </c>
      <c r="AO21"/>
    </row>
    <row r="22" spans="1:41" s="3" customFormat="1" x14ac:dyDescent="0.2">
      <c r="A22" s="3" t="s">
        <v>107</v>
      </c>
      <c r="B22" s="3">
        <v>13</v>
      </c>
      <c r="C22" s="3" t="s">
        <v>98</v>
      </c>
      <c r="D22" s="3" t="s">
        <v>99</v>
      </c>
      <c r="E22" s="3">
        <v>9</v>
      </c>
      <c r="F22" s="3">
        <v>13.89</v>
      </c>
      <c r="G22" s="3">
        <v>9</v>
      </c>
      <c r="H22" s="3">
        <v>22.23</v>
      </c>
      <c r="I22" s="3">
        <v>9</v>
      </c>
      <c r="J22" s="3">
        <v>7</v>
      </c>
      <c r="K22" s="6">
        <v>4.49</v>
      </c>
      <c r="L22" s="3">
        <v>7</v>
      </c>
      <c r="M22" s="6">
        <v>9.25</v>
      </c>
      <c r="N22" s="6"/>
      <c r="O22" s="6"/>
      <c r="P22" t="str">
        <f t="shared" si="3"/>
        <v>5q55125</v>
      </c>
      <c r="Q22">
        <f t="shared" si="0"/>
        <v>9</v>
      </c>
      <c r="R22">
        <f t="shared" si="0"/>
        <v>7</v>
      </c>
      <c r="S22">
        <f t="shared" si="0"/>
        <v>4.49</v>
      </c>
      <c r="T22">
        <f t="shared" si="0"/>
        <v>7</v>
      </c>
      <c r="U22">
        <f t="shared" si="1"/>
        <v>9.25</v>
      </c>
      <c r="V22">
        <f ca="1">summ!AD24</f>
        <v>7</v>
      </c>
      <c r="W22" s="5">
        <f ca="1">summ!AR24</f>
        <v>2.2772920019633598E-3</v>
      </c>
      <c r="X22">
        <f ca="1">summ!R24</f>
        <v>7</v>
      </c>
      <c r="Y22" s="5">
        <f ca="1">summ!AF24</f>
        <v>1.6600286149999799</v>
      </c>
      <c r="Z22">
        <f ca="1">summ!T24</f>
        <v>7</v>
      </c>
      <c r="AA22" s="5">
        <f ca="1">summ!AH24</f>
        <v>2.7744670995161799E-2</v>
      </c>
      <c r="AC22" t="str">
        <f t="shared" si="5"/>
        <v>5q55125&amp;</v>
      </c>
      <c r="AD22" t="str">
        <f t="shared" si="6"/>
        <v>9&amp;</v>
      </c>
      <c r="AE22" t="str">
        <f t="shared" si="7"/>
        <v>7&amp;</v>
      </c>
      <c r="AF22" t="str">
        <f t="shared" si="8"/>
        <v>4.5E+00&amp;</v>
      </c>
      <c r="AG22" t="str">
        <f t="shared" si="9"/>
        <v>7&amp;</v>
      </c>
      <c r="AH22" t="str">
        <f t="shared" si="10"/>
        <v>9.3E+00&amp;</v>
      </c>
      <c r="AI22" t="str">
        <f t="shared" ca="1" si="11"/>
        <v>7&amp;</v>
      </c>
      <c r="AJ22" t="str">
        <f t="shared" ca="1" si="12"/>
        <v>2.3E-03&amp;</v>
      </c>
      <c r="AK22" t="str">
        <f t="shared" ca="1" si="13"/>
        <v>7&amp;</v>
      </c>
      <c r="AL22" t="str">
        <f t="shared" ca="1" si="14"/>
        <v>1.7E+00&amp;</v>
      </c>
      <c r="AM22" t="str">
        <f t="shared" ca="1" si="15"/>
        <v>7&amp;</v>
      </c>
      <c r="AN22" t="str">
        <f t="shared" ca="1" si="16"/>
        <v>2.8E-02\\</v>
      </c>
      <c r="AO22"/>
    </row>
    <row r="23" spans="1:41" s="3" customFormat="1" x14ac:dyDescent="0.2">
      <c r="A23" s="3" t="s">
        <v>108</v>
      </c>
      <c r="B23" s="3">
        <v>11</v>
      </c>
      <c r="C23" s="3" t="s">
        <v>98</v>
      </c>
      <c r="D23" s="3" t="s">
        <v>99</v>
      </c>
      <c r="E23" s="3">
        <v>7</v>
      </c>
      <c r="F23" s="3">
        <v>1.05</v>
      </c>
      <c r="G23" s="3">
        <v>7</v>
      </c>
      <c r="H23" s="3">
        <v>2.86</v>
      </c>
      <c r="I23" s="3">
        <v>10</v>
      </c>
      <c r="J23" s="3">
        <v>6</v>
      </c>
      <c r="K23" s="6">
        <v>1.52</v>
      </c>
      <c r="L23" s="3">
        <v>6</v>
      </c>
      <c r="M23" s="6">
        <v>7.88</v>
      </c>
      <c r="N23" s="6"/>
      <c r="O23" s="6"/>
      <c r="P23" t="str">
        <f t="shared" si="3"/>
        <v>5q99346</v>
      </c>
      <c r="Q23">
        <f t="shared" ref="Q23:Q33" si="17">I23</f>
        <v>10</v>
      </c>
      <c r="R23">
        <f t="shared" ref="R23:R33" si="18">J23</f>
        <v>6</v>
      </c>
      <c r="S23">
        <f t="shared" ref="S23:S33" si="19">K23</f>
        <v>1.52</v>
      </c>
      <c r="T23">
        <f t="shared" ref="T23:T33" si="20">L23</f>
        <v>6</v>
      </c>
      <c r="U23">
        <f t="shared" si="1"/>
        <v>7.88</v>
      </c>
      <c r="V23">
        <f ca="1">summ!AD25</f>
        <v>6</v>
      </c>
      <c r="W23" s="5">
        <f ca="1">summ!AR25</f>
        <v>2.30366600226261E-3</v>
      </c>
      <c r="X23">
        <f ca="1">summ!R25</f>
        <v>6</v>
      </c>
      <c r="Y23" s="5">
        <f ca="1">summ!AF25</f>
        <v>0.735705500999984</v>
      </c>
      <c r="Z23">
        <f ca="1">summ!T25</f>
        <v>6</v>
      </c>
      <c r="AA23" s="5">
        <f ca="1">summ!AH25</f>
        <v>2.6753868995001501E-2</v>
      </c>
      <c r="AC23" t="str">
        <f t="shared" si="5"/>
        <v>5q99346&amp;</v>
      </c>
      <c r="AD23" t="str">
        <f t="shared" si="6"/>
        <v>10&amp;</v>
      </c>
      <c r="AE23" t="str">
        <f t="shared" si="7"/>
        <v>6&amp;</v>
      </c>
      <c r="AF23" t="str">
        <f t="shared" si="8"/>
        <v>1.5E+00&amp;</v>
      </c>
      <c r="AG23" t="str">
        <f t="shared" si="9"/>
        <v>6&amp;</v>
      </c>
      <c r="AH23" t="str">
        <f t="shared" si="10"/>
        <v>7.9E+00&amp;</v>
      </c>
      <c r="AI23" t="str">
        <f t="shared" ca="1" si="11"/>
        <v>6&amp;</v>
      </c>
      <c r="AJ23" t="str">
        <f t="shared" ca="1" si="12"/>
        <v>2.3E-03&amp;</v>
      </c>
      <c r="AK23" t="str">
        <f t="shared" ca="1" si="13"/>
        <v>6&amp;</v>
      </c>
      <c r="AL23" t="str">
        <f t="shared" ca="1" si="14"/>
        <v>7.4E-01&amp;</v>
      </c>
      <c r="AM23" t="str">
        <f t="shared" ca="1" si="15"/>
        <v>6&amp;</v>
      </c>
      <c r="AN23" t="str">
        <f t="shared" ca="1" si="16"/>
        <v>2.7E-02\\</v>
      </c>
      <c r="AO23"/>
    </row>
    <row r="24" spans="1:41" x14ac:dyDescent="0.2">
      <c r="A24" t="s">
        <v>109</v>
      </c>
      <c r="B24">
        <v>15</v>
      </c>
      <c r="C24" t="s">
        <v>98</v>
      </c>
      <c r="D24" t="s">
        <v>99</v>
      </c>
      <c r="E24" t="s">
        <v>98</v>
      </c>
      <c r="F24" t="s">
        <v>99</v>
      </c>
      <c r="G24">
        <v>12</v>
      </c>
      <c r="H24" t="s">
        <v>99</v>
      </c>
      <c r="I24">
        <v>15</v>
      </c>
      <c r="J24">
        <v>15</v>
      </c>
      <c r="K24" s="5" t="s">
        <v>99</v>
      </c>
      <c r="L24">
        <v>11</v>
      </c>
      <c r="M24" t="s">
        <v>99</v>
      </c>
      <c r="P24" t="str">
        <f t="shared" si="3"/>
        <v>6q05306</v>
      </c>
      <c r="Q24">
        <f t="shared" si="17"/>
        <v>15</v>
      </c>
      <c r="R24">
        <f t="shared" si="18"/>
        <v>15</v>
      </c>
      <c r="S24" t="str">
        <f t="shared" si="19"/>
        <v>TO</v>
      </c>
      <c r="T24">
        <f t="shared" si="20"/>
        <v>11</v>
      </c>
      <c r="U24" t="str">
        <f t="shared" si="1"/>
        <v>TO</v>
      </c>
      <c r="V24" t="s">
        <v>98</v>
      </c>
      <c r="W24" t="s">
        <v>98</v>
      </c>
      <c r="X24">
        <f ca="1">summ!R26</f>
        <v>11</v>
      </c>
      <c r="Y24" s="5">
        <f ca="1">summ!AF26</f>
        <v>6.857790241</v>
      </c>
      <c r="Z24">
        <f ca="1">summ!T26</f>
        <v>12</v>
      </c>
      <c r="AA24" s="5">
        <f ca="1">summ!AH26</f>
        <v>9.0180174011038602E-2</v>
      </c>
      <c r="AC24" t="str">
        <f t="shared" si="5"/>
        <v>6q05306&amp;</v>
      </c>
      <c r="AD24" t="str">
        <f t="shared" si="6"/>
        <v>15&amp;</v>
      </c>
      <c r="AE24" t="str">
        <f t="shared" si="7"/>
        <v>15&amp;</v>
      </c>
      <c r="AF24" t="str">
        <f t="shared" si="8"/>
        <v>TO&amp;</v>
      </c>
      <c r="AG24" t="str">
        <f t="shared" si="9"/>
        <v>11&amp;</v>
      </c>
      <c r="AH24" t="str">
        <f t="shared" si="10"/>
        <v>TO&amp;</v>
      </c>
      <c r="AI24" t="str">
        <f t="shared" si="11"/>
        <v>-&amp;</v>
      </c>
      <c r="AJ24" t="str">
        <f t="shared" si="12"/>
        <v>-&amp;</v>
      </c>
      <c r="AK24" t="str">
        <f t="shared" ca="1" si="13"/>
        <v>11&amp;</v>
      </c>
      <c r="AL24" t="str">
        <f t="shared" ca="1" si="14"/>
        <v>6.9E+00&amp;</v>
      </c>
      <c r="AM24" t="str">
        <f t="shared" ca="1" si="15"/>
        <v>12&amp;</v>
      </c>
      <c r="AN24" t="str">
        <f t="shared" ca="1" si="16"/>
        <v>9.0E-02\\</v>
      </c>
      <c r="AO24" s="3"/>
    </row>
    <row r="25" spans="1:41" x14ac:dyDescent="0.2">
      <c r="A25" t="s">
        <v>110</v>
      </c>
      <c r="B25">
        <v>20</v>
      </c>
      <c r="C25" t="s">
        <v>98</v>
      </c>
      <c r="D25" t="s">
        <v>99</v>
      </c>
      <c r="E25">
        <v>11</v>
      </c>
      <c r="F25">
        <v>2017.7</v>
      </c>
      <c r="G25">
        <v>12</v>
      </c>
      <c r="H25" t="s">
        <v>99</v>
      </c>
      <c r="I25">
        <v>14</v>
      </c>
      <c r="J25">
        <v>14</v>
      </c>
      <c r="K25" s="5" t="s">
        <v>99</v>
      </c>
      <c r="L25">
        <v>11</v>
      </c>
      <c r="M25" t="s">
        <v>99</v>
      </c>
      <c r="P25" t="str">
        <f t="shared" si="3"/>
        <v>6q33936</v>
      </c>
      <c r="Q25">
        <f t="shared" si="17"/>
        <v>14</v>
      </c>
      <c r="R25">
        <f t="shared" si="18"/>
        <v>14</v>
      </c>
      <c r="S25" t="str">
        <f t="shared" si="19"/>
        <v>TO</v>
      </c>
      <c r="T25">
        <f t="shared" si="20"/>
        <v>11</v>
      </c>
      <c r="U25" t="str">
        <f t="shared" si="1"/>
        <v>TO</v>
      </c>
      <c r="V25" t="s">
        <v>98</v>
      </c>
      <c r="W25" t="s">
        <v>98</v>
      </c>
      <c r="X25">
        <f ca="1">summ!R27</f>
        <v>10</v>
      </c>
      <c r="Y25" s="5">
        <f ca="1">summ!AF27</f>
        <v>5.7799050249999997</v>
      </c>
      <c r="Z25">
        <f ca="1">summ!T27</f>
        <v>12</v>
      </c>
      <c r="AA25" s="5">
        <f ca="1">summ!AH27</f>
        <v>9.8856310985866003E-2</v>
      </c>
      <c r="AC25" t="str">
        <f t="shared" si="5"/>
        <v>6q33936&amp;</v>
      </c>
      <c r="AD25" t="str">
        <f t="shared" si="6"/>
        <v>14&amp;</v>
      </c>
      <c r="AE25" t="str">
        <f t="shared" si="7"/>
        <v>14&amp;</v>
      </c>
      <c r="AF25" t="str">
        <f t="shared" si="8"/>
        <v>TO&amp;</v>
      </c>
      <c r="AG25" t="str">
        <f t="shared" si="9"/>
        <v>11&amp;</v>
      </c>
      <c r="AH25" t="str">
        <f t="shared" si="10"/>
        <v>TO&amp;</v>
      </c>
      <c r="AI25" t="str">
        <f t="shared" si="11"/>
        <v>-&amp;</v>
      </c>
      <c r="AJ25" t="str">
        <f t="shared" si="12"/>
        <v>-&amp;</v>
      </c>
      <c r="AK25" t="str">
        <f t="shared" ca="1" si="13"/>
        <v>10&amp;</v>
      </c>
      <c r="AL25" t="str">
        <f t="shared" ca="1" si="14"/>
        <v>5.8E+00&amp;</v>
      </c>
      <c r="AM25" t="str">
        <f t="shared" ca="1" si="15"/>
        <v>12&amp;</v>
      </c>
      <c r="AN25" t="str">
        <f t="shared" ca="1" si="16"/>
        <v>9.9E-02\\</v>
      </c>
    </row>
    <row r="26" spans="1:41" x14ac:dyDescent="0.2">
      <c r="A26" t="s">
        <v>111</v>
      </c>
      <c r="B26">
        <v>17</v>
      </c>
      <c r="C26" t="s">
        <v>98</v>
      </c>
      <c r="D26" t="s">
        <v>99</v>
      </c>
      <c r="E26">
        <v>11</v>
      </c>
      <c r="F26">
        <v>964.3</v>
      </c>
      <c r="G26">
        <v>11</v>
      </c>
      <c r="H26">
        <v>4525.8999999999996</v>
      </c>
      <c r="I26">
        <v>14</v>
      </c>
      <c r="J26">
        <v>14</v>
      </c>
      <c r="K26" s="5" t="s">
        <v>99</v>
      </c>
      <c r="L26">
        <v>12</v>
      </c>
      <c r="M26" t="s">
        <v>99</v>
      </c>
      <c r="P26" t="str">
        <f t="shared" si="3"/>
        <v>6q50494</v>
      </c>
      <c r="Q26">
        <f t="shared" si="17"/>
        <v>14</v>
      </c>
      <c r="R26">
        <f t="shared" si="18"/>
        <v>14</v>
      </c>
      <c r="S26" t="str">
        <f t="shared" si="19"/>
        <v>TO</v>
      </c>
      <c r="T26">
        <f t="shared" si="20"/>
        <v>12</v>
      </c>
      <c r="U26" t="str">
        <f t="shared" si="1"/>
        <v>TO</v>
      </c>
      <c r="V26" t="s">
        <v>98</v>
      </c>
      <c r="W26" t="s">
        <v>98</v>
      </c>
      <c r="X26">
        <f ca="1">summ!R28</f>
        <v>11</v>
      </c>
      <c r="Y26" s="5">
        <f ca="1">summ!AF28</f>
        <v>6.6222814109999799</v>
      </c>
      <c r="Z26">
        <f ca="1">summ!T28</f>
        <v>11</v>
      </c>
      <c r="AA26" s="5">
        <f ca="1">summ!AH28</f>
        <v>7.7395749001880093E-2</v>
      </c>
      <c r="AC26" t="str">
        <f t="shared" si="5"/>
        <v>6q50494&amp;</v>
      </c>
      <c r="AD26" t="str">
        <f t="shared" si="6"/>
        <v>14&amp;</v>
      </c>
      <c r="AE26" t="str">
        <f t="shared" si="7"/>
        <v>14&amp;</v>
      </c>
      <c r="AF26" t="str">
        <f t="shared" si="8"/>
        <v>TO&amp;</v>
      </c>
      <c r="AG26" t="str">
        <f t="shared" si="9"/>
        <v>12&amp;</v>
      </c>
      <c r="AH26" t="str">
        <f t="shared" si="10"/>
        <v>TO&amp;</v>
      </c>
      <c r="AI26" t="str">
        <f t="shared" si="11"/>
        <v>-&amp;</v>
      </c>
      <c r="AJ26" t="str">
        <f t="shared" si="12"/>
        <v>-&amp;</v>
      </c>
      <c r="AK26" t="str">
        <f t="shared" ca="1" si="13"/>
        <v>11&amp;</v>
      </c>
      <c r="AL26" t="str">
        <f t="shared" ca="1" si="14"/>
        <v>6.6E+00&amp;</v>
      </c>
      <c r="AM26" t="str">
        <f t="shared" ca="1" si="15"/>
        <v>11&amp;</v>
      </c>
      <c r="AN26" t="str">
        <f t="shared" ca="1" si="16"/>
        <v>7.7E-02\\</v>
      </c>
    </row>
    <row r="27" spans="1:41" s="3" customFormat="1" x14ac:dyDescent="0.2">
      <c r="A27" s="3" t="s">
        <v>112</v>
      </c>
      <c r="B27" s="3">
        <v>18</v>
      </c>
      <c r="C27" s="3" t="s">
        <v>98</v>
      </c>
      <c r="D27" s="3" t="s">
        <v>99</v>
      </c>
      <c r="E27" s="3">
        <v>11</v>
      </c>
      <c r="F27" s="3">
        <v>1060.2</v>
      </c>
      <c r="G27" s="3">
        <v>11</v>
      </c>
      <c r="H27" s="3">
        <v>5059.7</v>
      </c>
      <c r="I27" s="3">
        <v>14</v>
      </c>
      <c r="J27" s="3">
        <v>10</v>
      </c>
      <c r="K27" s="6">
        <v>6452.9</v>
      </c>
      <c r="L27" s="3">
        <v>10</v>
      </c>
      <c r="M27" s="3" t="s">
        <v>99</v>
      </c>
      <c r="P27" t="str">
        <f t="shared" si="3"/>
        <v>6q55125</v>
      </c>
      <c r="Q27">
        <f t="shared" si="17"/>
        <v>14</v>
      </c>
      <c r="R27">
        <f t="shared" si="18"/>
        <v>10</v>
      </c>
      <c r="S27">
        <f t="shared" si="19"/>
        <v>6452.9</v>
      </c>
      <c r="T27">
        <f t="shared" si="20"/>
        <v>10</v>
      </c>
      <c r="U27" t="str">
        <f t="shared" si="1"/>
        <v>TO</v>
      </c>
      <c r="V27" t="s">
        <v>98</v>
      </c>
      <c r="W27" t="s">
        <v>98</v>
      </c>
      <c r="X27">
        <f ca="1">summ!R29</f>
        <v>10</v>
      </c>
      <c r="Y27" s="5">
        <f ca="1">summ!AF29</f>
        <v>5.7888678099999904</v>
      </c>
      <c r="Z27">
        <f ca="1">summ!T29</f>
        <v>10</v>
      </c>
      <c r="AA27" s="5">
        <f ca="1">summ!AH29</f>
        <v>7.6236627995967796E-2</v>
      </c>
      <c r="AC27" t="str">
        <f t="shared" si="5"/>
        <v>6q55125&amp;</v>
      </c>
      <c r="AD27" t="str">
        <f t="shared" si="6"/>
        <v>14&amp;</v>
      </c>
      <c r="AE27" t="str">
        <f t="shared" si="7"/>
        <v>10&amp;</v>
      </c>
      <c r="AF27" t="str">
        <f t="shared" si="8"/>
        <v>6.5E+03&amp;</v>
      </c>
      <c r="AG27" t="str">
        <f t="shared" si="9"/>
        <v>10&amp;</v>
      </c>
      <c r="AH27" t="str">
        <f t="shared" si="10"/>
        <v>TO&amp;</v>
      </c>
      <c r="AI27" t="str">
        <f t="shared" si="11"/>
        <v>-&amp;</v>
      </c>
      <c r="AJ27" t="str">
        <f t="shared" si="12"/>
        <v>-&amp;</v>
      </c>
      <c r="AK27" t="str">
        <f t="shared" ca="1" si="13"/>
        <v>10&amp;</v>
      </c>
      <c r="AL27" t="str">
        <f t="shared" ca="1" si="14"/>
        <v>5.8E+00&amp;</v>
      </c>
      <c r="AM27" t="str">
        <f t="shared" ca="1" si="15"/>
        <v>10&amp;</v>
      </c>
      <c r="AN27" t="str">
        <f t="shared" ca="1" si="16"/>
        <v>7.6E-02\\</v>
      </c>
      <c r="AO27"/>
    </row>
    <row r="28" spans="1:41" x14ac:dyDescent="0.2">
      <c r="A28" t="s">
        <v>113</v>
      </c>
      <c r="B28">
        <v>15</v>
      </c>
      <c r="C28" t="s">
        <v>98</v>
      </c>
      <c r="D28" t="s">
        <v>99</v>
      </c>
      <c r="E28" t="s">
        <v>98</v>
      </c>
      <c r="F28" t="s">
        <v>99</v>
      </c>
      <c r="G28">
        <v>12</v>
      </c>
      <c r="H28" t="s">
        <v>99</v>
      </c>
      <c r="I28">
        <v>15</v>
      </c>
      <c r="J28" t="s">
        <v>98</v>
      </c>
      <c r="K28" t="s">
        <v>99</v>
      </c>
      <c r="L28">
        <v>11</v>
      </c>
      <c r="M28" t="s">
        <v>99</v>
      </c>
      <c r="P28" t="str">
        <f t="shared" si="3"/>
        <v>6q99346</v>
      </c>
      <c r="Q28">
        <f t="shared" si="17"/>
        <v>15</v>
      </c>
      <c r="R28" t="str">
        <f t="shared" si="18"/>
        <v>-</v>
      </c>
      <c r="S28" t="str">
        <f t="shared" si="19"/>
        <v>TO</v>
      </c>
      <c r="T28">
        <f t="shared" si="20"/>
        <v>11</v>
      </c>
      <c r="U28" t="str">
        <f t="shared" si="1"/>
        <v>TO</v>
      </c>
      <c r="V28" t="s">
        <v>98</v>
      </c>
      <c r="W28" t="s">
        <v>98</v>
      </c>
      <c r="X28">
        <f ca="1">summ!R30</f>
        <v>11</v>
      </c>
      <c r="Y28" s="5">
        <f ca="1">summ!AF30</f>
        <v>6.8123189450000101</v>
      </c>
      <c r="Z28">
        <f ca="1">summ!T30</f>
        <v>11</v>
      </c>
      <c r="AA28" s="5">
        <f ca="1">summ!AH30</f>
        <v>8.4014046995434896E-2</v>
      </c>
      <c r="AC28" t="str">
        <f t="shared" si="5"/>
        <v>6q99346&amp;</v>
      </c>
      <c r="AD28" t="str">
        <f t="shared" si="6"/>
        <v>15&amp;</v>
      </c>
      <c r="AE28" t="str">
        <f t="shared" si="7"/>
        <v>-&amp;</v>
      </c>
      <c r="AF28" t="str">
        <f t="shared" si="8"/>
        <v>TO&amp;</v>
      </c>
      <c r="AG28" t="str">
        <f t="shared" si="9"/>
        <v>11&amp;</v>
      </c>
      <c r="AH28" t="str">
        <f t="shared" si="10"/>
        <v>TO&amp;</v>
      </c>
      <c r="AI28" t="str">
        <f t="shared" si="11"/>
        <v>-&amp;</v>
      </c>
      <c r="AJ28" t="str">
        <f t="shared" si="12"/>
        <v>-&amp;</v>
      </c>
      <c r="AK28" t="str">
        <f t="shared" ca="1" si="13"/>
        <v>11&amp;</v>
      </c>
      <c r="AL28" t="str">
        <f t="shared" ca="1" si="14"/>
        <v>6.8E+00&amp;</v>
      </c>
      <c r="AM28" t="str">
        <f t="shared" ca="1" si="15"/>
        <v>11&amp;</v>
      </c>
      <c r="AN28" t="str">
        <f t="shared" ca="1" si="16"/>
        <v>8.4E-02\\</v>
      </c>
    </row>
    <row r="29" spans="1:41" x14ac:dyDescent="0.2">
      <c r="A29" t="s">
        <v>114</v>
      </c>
      <c r="B29">
        <v>25</v>
      </c>
      <c r="C29" t="s">
        <v>98</v>
      </c>
      <c r="D29" t="s">
        <v>99</v>
      </c>
      <c r="E29" t="s">
        <v>98</v>
      </c>
      <c r="F29" t="s">
        <v>99</v>
      </c>
      <c r="G29" t="s">
        <v>98</v>
      </c>
      <c r="H29" t="s">
        <v>99</v>
      </c>
      <c r="I29">
        <v>24</v>
      </c>
      <c r="J29" t="s">
        <v>98</v>
      </c>
      <c r="K29" t="s">
        <v>99</v>
      </c>
      <c r="L29">
        <v>19</v>
      </c>
      <c r="M29" t="s">
        <v>99</v>
      </c>
      <c r="P29" t="str">
        <f t="shared" si="3"/>
        <v>7q05306</v>
      </c>
      <c r="Q29">
        <f t="shared" si="17"/>
        <v>24</v>
      </c>
      <c r="R29" t="str">
        <f t="shared" si="18"/>
        <v>-</v>
      </c>
      <c r="S29" t="str">
        <f t="shared" si="19"/>
        <v>TO</v>
      </c>
      <c r="T29">
        <f t="shared" si="20"/>
        <v>19</v>
      </c>
      <c r="U29" t="str">
        <f t="shared" si="1"/>
        <v>TO</v>
      </c>
      <c r="V29" t="s">
        <v>98</v>
      </c>
      <c r="W29" t="s">
        <v>98</v>
      </c>
      <c r="X29">
        <f ca="1">summ!R31</f>
        <v>15</v>
      </c>
      <c r="Y29" s="5">
        <f ca="1">summ!AF31</f>
        <v>14.010082103999901</v>
      </c>
      <c r="Z29">
        <f ca="1">summ!T31</f>
        <v>16</v>
      </c>
      <c r="AA29" s="5">
        <f ca="1">summ!AH31</f>
        <v>0.16320194199215601</v>
      </c>
      <c r="AC29" t="str">
        <f t="shared" si="5"/>
        <v>7q05306&amp;</v>
      </c>
      <c r="AD29" t="str">
        <f t="shared" si="6"/>
        <v>24&amp;</v>
      </c>
      <c r="AE29" t="str">
        <f t="shared" si="7"/>
        <v>-&amp;</v>
      </c>
      <c r="AF29" t="str">
        <f t="shared" si="8"/>
        <v>TO&amp;</v>
      </c>
      <c r="AG29" t="str">
        <f t="shared" si="9"/>
        <v>19&amp;</v>
      </c>
      <c r="AH29" t="str">
        <f t="shared" si="10"/>
        <v>TO&amp;</v>
      </c>
      <c r="AI29" t="str">
        <f t="shared" si="11"/>
        <v>-&amp;</v>
      </c>
      <c r="AJ29" t="str">
        <f t="shared" si="12"/>
        <v>-&amp;</v>
      </c>
      <c r="AK29" t="str">
        <f t="shared" ca="1" si="13"/>
        <v>15&amp;</v>
      </c>
      <c r="AL29" t="str">
        <f t="shared" ca="1" si="14"/>
        <v>1.4E+01&amp;</v>
      </c>
      <c r="AM29" t="str">
        <f t="shared" ca="1" si="15"/>
        <v>16&amp;</v>
      </c>
      <c r="AN29" t="str">
        <f t="shared" ca="1" si="16"/>
        <v>1.6E-01\\</v>
      </c>
    </row>
    <row r="30" spans="1:41" x14ac:dyDescent="0.2">
      <c r="A30" t="s">
        <v>115</v>
      </c>
      <c r="B30">
        <v>24</v>
      </c>
      <c r="C30" t="s">
        <v>98</v>
      </c>
      <c r="D30" t="s">
        <v>99</v>
      </c>
      <c r="E30" t="s">
        <v>98</v>
      </c>
      <c r="F30" t="s">
        <v>99</v>
      </c>
      <c r="G30" t="s">
        <v>98</v>
      </c>
      <c r="H30" t="s">
        <v>99</v>
      </c>
      <c r="I30">
        <v>20</v>
      </c>
      <c r="J30" t="s">
        <v>98</v>
      </c>
      <c r="K30" t="s">
        <v>99</v>
      </c>
      <c r="L30">
        <v>17</v>
      </c>
      <c r="M30" t="s">
        <v>99</v>
      </c>
      <c r="P30" t="str">
        <f t="shared" si="3"/>
        <v>7q33936</v>
      </c>
      <c r="Q30">
        <f t="shared" si="17"/>
        <v>20</v>
      </c>
      <c r="R30" t="str">
        <f t="shared" si="18"/>
        <v>-</v>
      </c>
      <c r="S30" t="str">
        <f t="shared" si="19"/>
        <v>TO</v>
      </c>
      <c r="T30">
        <f t="shared" si="20"/>
        <v>17</v>
      </c>
      <c r="U30" t="str">
        <f t="shared" si="1"/>
        <v>TO</v>
      </c>
      <c r="V30" t="s">
        <v>98</v>
      </c>
      <c r="W30" t="s">
        <v>98</v>
      </c>
      <c r="X30">
        <f ca="1">summ!R32</f>
        <v>14</v>
      </c>
      <c r="Y30" s="5">
        <f ca="1">summ!AF32</f>
        <v>13.5457929289999</v>
      </c>
      <c r="Z30">
        <f ca="1">summ!T32</f>
        <v>16</v>
      </c>
      <c r="AA30" s="5">
        <f ca="1">summ!AH32</f>
        <v>0.16237427300075</v>
      </c>
      <c r="AC30" t="str">
        <f t="shared" si="5"/>
        <v>7q33936&amp;</v>
      </c>
      <c r="AD30" t="str">
        <f t="shared" si="6"/>
        <v>20&amp;</v>
      </c>
      <c r="AE30" t="str">
        <f t="shared" si="7"/>
        <v>-&amp;</v>
      </c>
      <c r="AF30" t="str">
        <f t="shared" si="8"/>
        <v>TO&amp;</v>
      </c>
      <c r="AG30" t="str">
        <f t="shared" si="9"/>
        <v>17&amp;</v>
      </c>
      <c r="AH30" t="str">
        <f t="shared" si="10"/>
        <v>TO&amp;</v>
      </c>
      <c r="AI30" t="str">
        <f t="shared" si="11"/>
        <v>-&amp;</v>
      </c>
      <c r="AJ30" t="str">
        <f t="shared" si="12"/>
        <v>-&amp;</v>
      </c>
      <c r="AK30" t="str">
        <f t="shared" ca="1" si="13"/>
        <v>14&amp;</v>
      </c>
      <c r="AL30" t="str">
        <f t="shared" ca="1" si="14"/>
        <v>1.4E+01&amp;</v>
      </c>
      <c r="AM30" t="str">
        <f t="shared" ca="1" si="15"/>
        <v>16&amp;</v>
      </c>
      <c r="AN30" t="str">
        <f t="shared" ca="1" si="16"/>
        <v>1.6E-01\\</v>
      </c>
    </row>
    <row r="31" spans="1:41" x14ac:dyDescent="0.2">
      <c r="A31" t="s">
        <v>116</v>
      </c>
      <c r="B31">
        <v>22</v>
      </c>
      <c r="C31" t="s">
        <v>98</v>
      </c>
      <c r="D31" t="s">
        <v>99</v>
      </c>
      <c r="E31" t="s">
        <v>98</v>
      </c>
      <c r="F31" t="s">
        <v>99</v>
      </c>
      <c r="G31">
        <v>18</v>
      </c>
      <c r="H31" t="s">
        <v>99</v>
      </c>
      <c r="I31">
        <v>20</v>
      </c>
      <c r="J31" t="s">
        <v>98</v>
      </c>
      <c r="K31" t="s">
        <v>99</v>
      </c>
      <c r="L31" t="s">
        <v>98</v>
      </c>
      <c r="M31" t="s">
        <v>99</v>
      </c>
      <c r="P31" t="str">
        <f t="shared" si="3"/>
        <v>7q50494</v>
      </c>
      <c r="Q31">
        <f t="shared" si="17"/>
        <v>20</v>
      </c>
      <c r="R31" t="str">
        <f t="shared" si="18"/>
        <v>-</v>
      </c>
      <c r="S31" t="str">
        <f t="shared" si="19"/>
        <v>TO</v>
      </c>
      <c r="T31" t="str">
        <f t="shared" si="20"/>
        <v>-</v>
      </c>
      <c r="U31" t="str">
        <f t="shared" si="1"/>
        <v>TO</v>
      </c>
      <c r="V31" t="s">
        <v>98</v>
      </c>
      <c r="W31" t="s">
        <v>98</v>
      </c>
      <c r="X31">
        <f ca="1">summ!R33</f>
        <v>14</v>
      </c>
      <c r="Y31" s="5">
        <f ca="1">summ!AF33</f>
        <v>13.1911429529999</v>
      </c>
      <c r="Z31">
        <f ca="1">summ!T33</f>
        <v>17</v>
      </c>
      <c r="AA31" s="5">
        <f ca="1">summ!AH33</f>
        <v>0.17682188001344901</v>
      </c>
      <c r="AC31" t="str">
        <f t="shared" si="5"/>
        <v>7q50494&amp;</v>
      </c>
      <c r="AD31" t="str">
        <f t="shared" si="6"/>
        <v>20&amp;</v>
      </c>
      <c r="AE31" t="str">
        <f t="shared" si="7"/>
        <v>-&amp;</v>
      </c>
      <c r="AF31" t="str">
        <f t="shared" si="8"/>
        <v>TO&amp;</v>
      </c>
      <c r="AG31" t="str">
        <f t="shared" si="9"/>
        <v>-&amp;</v>
      </c>
      <c r="AH31" t="str">
        <f t="shared" si="10"/>
        <v>TO&amp;</v>
      </c>
      <c r="AI31" t="str">
        <f t="shared" si="11"/>
        <v>-&amp;</v>
      </c>
      <c r="AJ31" t="str">
        <f t="shared" si="12"/>
        <v>-&amp;</v>
      </c>
      <c r="AK31" t="str">
        <f t="shared" ca="1" si="13"/>
        <v>14&amp;</v>
      </c>
      <c r="AL31" t="str">
        <f t="shared" ca="1" si="14"/>
        <v>1.3E+01&amp;</v>
      </c>
      <c r="AM31" t="str">
        <f t="shared" ca="1" si="15"/>
        <v>17&amp;</v>
      </c>
      <c r="AN31" t="str">
        <f t="shared" ca="1" si="16"/>
        <v>1.8E-01\\</v>
      </c>
    </row>
    <row r="32" spans="1:41" x14ac:dyDescent="0.2">
      <c r="A32" t="s">
        <v>117</v>
      </c>
      <c r="B32">
        <v>22</v>
      </c>
      <c r="C32" t="s">
        <v>98</v>
      </c>
      <c r="D32" t="s">
        <v>99</v>
      </c>
      <c r="E32" t="s">
        <v>98</v>
      </c>
      <c r="F32" t="s">
        <v>99</v>
      </c>
      <c r="G32">
        <v>17</v>
      </c>
      <c r="H32" t="s">
        <v>99</v>
      </c>
      <c r="I32">
        <v>18</v>
      </c>
      <c r="J32" t="s">
        <v>98</v>
      </c>
      <c r="K32" t="s">
        <v>99</v>
      </c>
      <c r="L32">
        <v>17</v>
      </c>
      <c r="M32" t="s">
        <v>99</v>
      </c>
      <c r="P32" t="str">
        <f t="shared" si="3"/>
        <v>7q55125</v>
      </c>
      <c r="Q32">
        <f t="shared" si="17"/>
        <v>18</v>
      </c>
      <c r="R32" t="str">
        <f t="shared" si="18"/>
        <v>-</v>
      </c>
      <c r="S32" t="str">
        <f t="shared" si="19"/>
        <v>TO</v>
      </c>
      <c r="T32">
        <f t="shared" si="20"/>
        <v>17</v>
      </c>
      <c r="U32" t="str">
        <f t="shared" si="1"/>
        <v>TO</v>
      </c>
      <c r="V32" t="s">
        <v>98</v>
      </c>
      <c r="W32" t="s">
        <v>98</v>
      </c>
      <c r="X32">
        <f ca="1">summ!R34</f>
        <v>14</v>
      </c>
      <c r="Y32" s="5">
        <f ca="1">summ!AF34</f>
        <v>12.694246738999899</v>
      </c>
      <c r="Z32">
        <f ca="1">summ!T34</f>
        <v>14</v>
      </c>
      <c r="AA32" s="5">
        <f ca="1">summ!AH34</f>
        <v>0.124018967995652</v>
      </c>
      <c r="AC32" t="str">
        <f t="shared" si="5"/>
        <v>7q55125&amp;</v>
      </c>
      <c r="AD32" t="str">
        <f t="shared" si="6"/>
        <v>18&amp;</v>
      </c>
      <c r="AE32" t="str">
        <f t="shared" si="7"/>
        <v>-&amp;</v>
      </c>
      <c r="AF32" t="str">
        <f t="shared" si="8"/>
        <v>TO&amp;</v>
      </c>
      <c r="AG32" t="str">
        <f t="shared" si="9"/>
        <v>17&amp;</v>
      </c>
      <c r="AH32" t="str">
        <f t="shared" si="10"/>
        <v>TO&amp;</v>
      </c>
      <c r="AI32" t="str">
        <f t="shared" si="11"/>
        <v>-&amp;</v>
      </c>
      <c r="AJ32" t="str">
        <f t="shared" si="12"/>
        <v>-&amp;</v>
      </c>
      <c r="AK32" t="str">
        <f t="shared" ca="1" si="13"/>
        <v>14&amp;</v>
      </c>
      <c r="AL32" t="str">
        <f t="shared" ca="1" si="14"/>
        <v>1.3E+01&amp;</v>
      </c>
      <c r="AM32" t="str">
        <f t="shared" ca="1" si="15"/>
        <v>14&amp;</v>
      </c>
      <c r="AN32" t="str">
        <f t="shared" ca="1" si="16"/>
        <v>1.2E-01\\</v>
      </c>
    </row>
    <row r="33" spans="1:41" x14ac:dyDescent="0.2">
      <c r="A33" t="s">
        <v>118</v>
      </c>
      <c r="B33">
        <v>21</v>
      </c>
      <c r="C33" t="s">
        <v>98</v>
      </c>
      <c r="D33" t="s">
        <v>99</v>
      </c>
      <c r="E33" t="s">
        <v>98</v>
      </c>
      <c r="F33" t="s">
        <v>99</v>
      </c>
      <c r="G33" t="s">
        <v>98</v>
      </c>
      <c r="H33" t="s">
        <v>99</v>
      </c>
      <c r="I33">
        <v>20</v>
      </c>
      <c r="J33" t="s">
        <v>98</v>
      </c>
      <c r="K33" t="s">
        <v>99</v>
      </c>
      <c r="L33">
        <v>19</v>
      </c>
      <c r="M33" t="s">
        <v>99</v>
      </c>
      <c r="P33" t="str">
        <f t="shared" si="3"/>
        <v>7q99346</v>
      </c>
      <c r="Q33">
        <f t="shared" si="17"/>
        <v>20</v>
      </c>
      <c r="R33" t="str">
        <f t="shared" si="18"/>
        <v>-</v>
      </c>
      <c r="S33" t="str">
        <f t="shared" si="19"/>
        <v>TO</v>
      </c>
      <c r="T33">
        <f t="shared" si="20"/>
        <v>19</v>
      </c>
      <c r="U33" t="str">
        <f t="shared" si="1"/>
        <v>TO</v>
      </c>
      <c r="V33" t="s">
        <v>98</v>
      </c>
      <c r="W33" t="s">
        <v>98</v>
      </c>
      <c r="X33">
        <f ca="1">summ!R35</f>
        <v>14</v>
      </c>
      <c r="Y33" s="5">
        <f ca="1">summ!AF35</f>
        <v>12.4698795479999</v>
      </c>
      <c r="Z33">
        <f ca="1">summ!T35</f>
        <v>16</v>
      </c>
      <c r="AA33" s="5">
        <f ca="1">summ!AH35</f>
        <v>0.142709851003019</v>
      </c>
      <c r="AC33" t="str">
        <f t="shared" si="5"/>
        <v>7q99346&amp;</v>
      </c>
      <c r="AD33" t="str">
        <f t="shared" si="6"/>
        <v>20&amp;</v>
      </c>
      <c r="AE33" t="str">
        <f t="shared" si="7"/>
        <v>-&amp;</v>
      </c>
      <c r="AF33" t="str">
        <f t="shared" si="8"/>
        <v>TO&amp;</v>
      </c>
      <c r="AG33" t="str">
        <f t="shared" si="9"/>
        <v>19&amp;</v>
      </c>
      <c r="AH33" t="str">
        <f t="shared" si="10"/>
        <v>TO&amp;</v>
      </c>
      <c r="AI33" t="str">
        <f t="shared" si="11"/>
        <v>-&amp;</v>
      </c>
      <c r="AJ33" t="str">
        <f t="shared" si="12"/>
        <v>-&amp;</v>
      </c>
      <c r="AK33" t="str">
        <f t="shared" ca="1" si="13"/>
        <v>14&amp;</v>
      </c>
      <c r="AL33" t="str">
        <f t="shared" ca="1" si="14"/>
        <v>1.2E+01&amp;</v>
      </c>
      <c r="AM33" t="str">
        <f t="shared" ca="1" si="15"/>
        <v>16&amp;</v>
      </c>
      <c r="AN33" t="str">
        <f t="shared" ca="1" si="16"/>
        <v>1.4E-01\\</v>
      </c>
      <c r="AO33" t="s">
        <v>268</v>
      </c>
    </row>
    <row r="34" spans="1:41" x14ac:dyDescent="0.2">
      <c r="AC34" t="s">
        <v>275</v>
      </c>
    </row>
    <row r="35" spans="1:41" x14ac:dyDescent="0.2">
      <c r="Y35" t="str">
        <f ca="1">TEXT(Y33,"0.0E+00")</f>
        <v>1.2E+01</v>
      </c>
      <c r="AC35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3ED8-9E1C-6C44-93F6-03C606D498F9}">
  <dimension ref="A1:M29"/>
  <sheetViews>
    <sheetView workbookViewId="0">
      <selection activeCell="D34" sqref="D34"/>
    </sheetView>
  </sheetViews>
  <sheetFormatPr baseColWidth="10" defaultRowHeight="16" x14ac:dyDescent="0.2"/>
  <sheetData>
    <row r="1" spans="1:13" x14ac:dyDescent="0.2">
      <c r="A1" t="s">
        <v>135</v>
      </c>
    </row>
    <row r="2" spans="1:13" x14ac:dyDescent="0.2">
      <c r="A2" t="s">
        <v>136</v>
      </c>
      <c r="B2" t="s">
        <v>137</v>
      </c>
    </row>
    <row r="3" spans="1:13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85</v>
      </c>
      <c r="G3" t="s">
        <v>87</v>
      </c>
      <c r="H3" t="s">
        <v>88</v>
      </c>
    </row>
    <row r="4" spans="1:13" x14ac:dyDescent="0.2">
      <c r="A4" t="s">
        <v>89</v>
      </c>
      <c r="B4" t="s">
        <v>90</v>
      </c>
      <c r="C4" t="s">
        <v>90</v>
      </c>
      <c r="D4" t="s">
        <v>91</v>
      </c>
      <c r="E4" t="s">
        <v>90</v>
      </c>
      <c r="F4" t="s">
        <v>91</v>
      </c>
      <c r="G4" t="s">
        <v>90</v>
      </c>
      <c r="H4" t="s">
        <v>91</v>
      </c>
      <c r="I4" t="s">
        <v>90</v>
      </c>
      <c r="J4" t="s">
        <v>90</v>
      </c>
      <c r="K4" t="s">
        <v>91</v>
      </c>
      <c r="L4" t="s">
        <v>90</v>
      </c>
      <c r="M4" t="s">
        <v>91</v>
      </c>
    </row>
    <row r="5" spans="1:13" x14ac:dyDescent="0.2">
      <c r="A5" t="s">
        <v>92</v>
      </c>
      <c r="B5">
        <v>4</v>
      </c>
      <c r="C5">
        <v>4</v>
      </c>
      <c r="D5">
        <v>0.4</v>
      </c>
      <c r="E5">
        <v>4</v>
      </c>
      <c r="F5">
        <v>0.13</v>
      </c>
      <c r="G5">
        <v>4</v>
      </c>
      <c r="H5">
        <v>0.06</v>
      </c>
      <c r="I5">
        <v>2</v>
      </c>
      <c r="J5">
        <v>2</v>
      </c>
      <c r="K5">
        <v>0.1</v>
      </c>
      <c r="L5">
        <v>2</v>
      </c>
      <c r="M5">
        <v>0.09</v>
      </c>
    </row>
    <row r="6" spans="1:13" x14ac:dyDescent="0.2">
      <c r="A6" t="s">
        <v>93</v>
      </c>
      <c r="B6">
        <v>3</v>
      </c>
      <c r="C6">
        <v>3</v>
      </c>
      <c r="D6">
        <v>0.39</v>
      </c>
      <c r="E6">
        <v>3</v>
      </c>
      <c r="F6">
        <v>7.0000000000000007E-2</v>
      </c>
      <c r="G6">
        <v>3</v>
      </c>
      <c r="H6">
        <v>0.05</v>
      </c>
      <c r="I6">
        <v>3</v>
      </c>
      <c r="J6">
        <v>3</v>
      </c>
      <c r="K6">
        <v>7.0000000000000007E-2</v>
      </c>
      <c r="L6">
        <v>3</v>
      </c>
      <c r="M6">
        <v>0.05</v>
      </c>
    </row>
    <row r="7" spans="1:13" x14ac:dyDescent="0.2">
      <c r="A7" t="s">
        <v>94</v>
      </c>
      <c r="B7">
        <v>4</v>
      </c>
      <c r="C7">
        <v>4</v>
      </c>
      <c r="D7">
        <v>0.25</v>
      </c>
      <c r="E7">
        <v>4</v>
      </c>
      <c r="F7">
        <v>0.08</v>
      </c>
      <c r="G7">
        <v>4</v>
      </c>
      <c r="H7">
        <v>0.05</v>
      </c>
      <c r="I7">
        <v>3</v>
      </c>
      <c r="J7">
        <v>3</v>
      </c>
      <c r="K7">
        <v>0.06</v>
      </c>
      <c r="L7">
        <v>3</v>
      </c>
      <c r="M7">
        <v>0.04</v>
      </c>
    </row>
    <row r="8" spans="1:13" x14ac:dyDescent="0.2">
      <c r="A8" t="s">
        <v>95</v>
      </c>
      <c r="B8">
        <v>3</v>
      </c>
      <c r="C8">
        <v>3</v>
      </c>
      <c r="D8">
        <v>0.42</v>
      </c>
      <c r="E8">
        <v>3</v>
      </c>
      <c r="F8">
        <v>0.06</v>
      </c>
      <c r="G8">
        <v>3</v>
      </c>
      <c r="H8">
        <v>0.04</v>
      </c>
      <c r="I8">
        <v>3</v>
      </c>
      <c r="J8">
        <v>3</v>
      </c>
      <c r="K8">
        <v>0.06</v>
      </c>
      <c r="L8">
        <v>3</v>
      </c>
      <c r="M8">
        <v>0.05</v>
      </c>
    </row>
    <row r="9" spans="1:13" x14ac:dyDescent="0.2">
      <c r="A9" t="s">
        <v>96</v>
      </c>
      <c r="B9">
        <v>4</v>
      </c>
      <c r="C9">
        <v>4</v>
      </c>
      <c r="D9">
        <v>0.34</v>
      </c>
      <c r="E9">
        <v>4</v>
      </c>
      <c r="F9">
        <v>0.08</v>
      </c>
      <c r="G9">
        <v>4</v>
      </c>
      <c r="H9">
        <v>0.05</v>
      </c>
      <c r="I9">
        <v>3</v>
      </c>
      <c r="J9">
        <v>3</v>
      </c>
      <c r="K9">
        <v>0.06</v>
      </c>
      <c r="L9">
        <v>3</v>
      </c>
      <c r="M9">
        <v>0.05</v>
      </c>
    </row>
    <row r="10" spans="1:13" x14ac:dyDescent="0.2">
      <c r="A10" t="s">
        <v>97</v>
      </c>
      <c r="B10">
        <v>4</v>
      </c>
      <c r="C10">
        <v>5</v>
      </c>
      <c r="D10">
        <v>4</v>
      </c>
      <c r="E10">
        <v>4</v>
      </c>
      <c r="F10">
        <v>0.11</v>
      </c>
      <c r="G10">
        <v>4</v>
      </c>
      <c r="H10">
        <v>7.0000000000000007E-2</v>
      </c>
      <c r="I10">
        <v>4</v>
      </c>
      <c r="J10">
        <v>3</v>
      </c>
      <c r="K10">
        <v>0.12</v>
      </c>
      <c r="L10">
        <v>3</v>
      </c>
      <c r="M10">
        <v>0.1</v>
      </c>
    </row>
    <row r="11" spans="1:13" x14ac:dyDescent="0.2">
      <c r="A11" t="s">
        <v>100</v>
      </c>
      <c r="B11">
        <v>7</v>
      </c>
      <c r="C11">
        <v>5</v>
      </c>
      <c r="D11">
        <v>4.2699999999999996</v>
      </c>
      <c r="E11">
        <v>4</v>
      </c>
      <c r="F11">
        <v>0.16</v>
      </c>
      <c r="G11">
        <v>4</v>
      </c>
      <c r="H11">
        <v>0.34</v>
      </c>
      <c r="I11">
        <v>7</v>
      </c>
      <c r="J11">
        <v>3</v>
      </c>
      <c r="K11">
        <v>0.14000000000000001</v>
      </c>
      <c r="L11">
        <v>3</v>
      </c>
      <c r="M11">
        <v>0.56999999999999995</v>
      </c>
    </row>
    <row r="12" spans="1:13" x14ac:dyDescent="0.2">
      <c r="A12" t="s">
        <v>101</v>
      </c>
      <c r="B12">
        <v>6</v>
      </c>
      <c r="C12">
        <v>6</v>
      </c>
      <c r="D12">
        <v>6.85</v>
      </c>
      <c r="E12">
        <v>4</v>
      </c>
      <c r="F12">
        <v>0.17</v>
      </c>
      <c r="G12">
        <v>4</v>
      </c>
      <c r="H12">
        <v>0.17</v>
      </c>
      <c r="I12">
        <v>3</v>
      </c>
      <c r="J12">
        <v>3</v>
      </c>
      <c r="K12">
        <v>7.0000000000000007E-2</v>
      </c>
      <c r="L12">
        <v>3</v>
      </c>
      <c r="M12">
        <v>0.05</v>
      </c>
    </row>
    <row r="13" spans="1:13" x14ac:dyDescent="0.2">
      <c r="A13" t="s">
        <v>102</v>
      </c>
      <c r="B13">
        <v>4</v>
      </c>
      <c r="C13">
        <v>4</v>
      </c>
      <c r="D13">
        <v>2.5299999999999998</v>
      </c>
      <c r="E13">
        <v>3</v>
      </c>
      <c r="F13">
        <v>0.1</v>
      </c>
      <c r="G13">
        <v>3</v>
      </c>
      <c r="H13">
        <v>0.09</v>
      </c>
      <c r="I13">
        <v>4</v>
      </c>
      <c r="J13">
        <v>3</v>
      </c>
      <c r="K13">
        <v>0.12</v>
      </c>
      <c r="L13">
        <v>3</v>
      </c>
      <c r="M13">
        <v>0.1</v>
      </c>
    </row>
    <row r="14" spans="1:13" x14ac:dyDescent="0.2">
      <c r="A14" t="s">
        <v>103</v>
      </c>
      <c r="B14">
        <v>7</v>
      </c>
      <c r="C14">
        <v>4</v>
      </c>
      <c r="D14">
        <v>8.08</v>
      </c>
      <c r="E14">
        <v>3</v>
      </c>
      <c r="F14">
        <v>0.11</v>
      </c>
      <c r="G14">
        <v>3</v>
      </c>
      <c r="H14">
        <v>0.44</v>
      </c>
      <c r="I14">
        <v>6</v>
      </c>
      <c r="J14">
        <v>3</v>
      </c>
      <c r="K14">
        <v>0.21</v>
      </c>
      <c r="L14">
        <v>3</v>
      </c>
      <c r="M14">
        <v>0.36</v>
      </c>
    </row>
    <row r="15" spans="1:13" x14ac:dyDescent="0.2">
      <c r="A15" t="s">
        <v>104</v>
      </c>
      <c r="B15">
        <v>10</v>
      </c>
      <c r="C15">
        <v>8</v>
      </c>
      <c r="D15">
        <v>437.1</v>
      </c>
      <c r="E15">
        <v>5</v>
      </c>
      <c r="F15">
        <v>1.64</v>
      </c>
      <c r="G15">
        <v>5</v>
      </c>
      <c r="H15">
        <v>9.68</v>
      </c>
      <c r="I15">
        <v>8</v>
      </c>
      <c r="J15">
        <v>4</v>
      </c>
      <c r="K15">
        <v>2.57</v>
      </c>
      <c r="L15">
        <v>4</v>
      </c>
      <c r="M15">
        <v>4.5599999999999996</v>
      </c>
    </row>
    <row r="16" spans="1:13" x14ac:dyDescent="0.2">
      <c r="A16" t="s">
        <v>105</v>
      </c>
      <c r="B16">
        <v>10</v>
      </c>
      <c r="C16">
        <v>7</v>
      </c>
      <c r="D16">
        <v>533.79999999999995</v>
      </c>
      <c r="E16">
        <v>5</v>
      </c>
      <c r="F16">
        <v>0.91</v>
      </c>
      <c r="G16">
        <v>5</v>
      </c>
      <c r="H16">
        <v>6.3</v>
      </c>
      <c r="I16">
        <v>8</v>
      </c>
      <c r="J16">
        <v>4</v>
      </c>
      <c r="K16">
        <v>2.81</v>
      </c>
      <c r="L16">
        <v>4</v>
      </c>
      <c r="M16">
        <v>7</v>
      </c>
    </row>
    <row r="17" spans="1:13" x14ac:dyDescent="0.2">
      <c r="A17" t="s">
        <v>106</v>
      </c>
      <c r="B17">
        <v>15</v>
      </c>
      <c r="C17">
        <v>7</v>
      </c>
      <c r="D17">
        <v>626.20000000000005</v>
      </c>
      <c r="E17">
        <v>5</v>
      </c>
      <c r="F17">
        <v>2.25</v>
      </c>
      <c r="G17">
        <v>5</v>
      </c>
      <c r="H17">
        <v>40.49</v>
      </c>
      <c r="I17">
        <v>9</v>
      </c>
      <c r="J17">
        <v>4</v>
      </c>
      <c r="K17">
        <v>5.71</v>
      </c>
      <c r="L17">
        <v>4</v>
      </c>
      <c r="M17">
        <v>6.98</v>
      </c>
    </row>
    <row r="18" spans="1:13" x14ac:dyDescent="0.2">
      <c r="A18" t="s">
        <v>107</v>
      </c>
      <c r="B18">
        <v>12</v>
      </c>
      <c r="C18">
        <v>8</v>
      </c>
      <c r="D18">
        <v>347.7</v>
      </c>
      <c r="E18">
        <v>5</v>
      </c>
      <c r="F18">
        <v>0.91</v>
      </c>
      <c r="G18">
        <v>5</v>
      </c>
      <c r="H18">
        <v>21.45</v>
      </c>
      <c r="I18">
        <v>8</v>
      </c>
      <c r="J18">
        <v>4</v>
      </c>
      <c r="K18">
        <v>1.27</v>
      </c>
      <c r="L18">
        <v>4</v>
      </c>
      <c r="M18">
        <v>4.9800000000000004</v>
      </c>
    </row>
    <row r="19" spans="1:13" x14ac:dyDescent="0.2">
      <c r="A19" t="s">
        <v>108</v>
      </c>
      <c r="B19">
        <v>9</v>
      </c>
      <c r="C19">
        <v>6</v>
      </c>
      <c r="D19">
        <v>226.7</v>
      </c>
      <c r="E19">
        <v>4</v>
      </c>
      <c r="F19">
        <v>0.39</v>
      </c>
      <c r="G19">
        <v>4</v>
      </c>
      <c r="H19">
        <v>3.25</v>
      </c>
      <c r="I19">
        <v>8</v>
      </c>
      <c r="J19">
        <v>4</v>
      </c>
      <c r="K19">
        <v>0.37</v>
      </c>
      <c r="L19">
        <v>4</v>
      </c>
      <c r="M19">
        <v>5.41</v>
      </c>
    </row>
    <row r="20" spans="1:13" x14ac:dyDescent="0.2">
      <c r="A20" t="s">
        <v>109</v>
      </c>
      <c r="B20">
        <v>11</v>
      </c>
      <c r="C20" t="s">
        <v>98</v>
      </c>
      <c r="D20" t="s">
        <v>99</v>
      </c>
      <c r="E20">
        <v>5</v>
      </c>
      <c r="F20">
        <v>23.59</v>
      </c>
      <c r="G20">
        <v>5</v>
      </c>
      <c r="H20">
        <v>299.27</v>
      </c>
      <c r="I20">
        <v>11</v>
      </c>
      <c r="J20">
        <v>5</v>
      </c>
      <c r="K20">
        <v>168.09</v>
      </c>
      <c r="L20">
        <v>5</v>
      </c>
      <c r="M20">
        <v>607.01</v>
      </c>
    </row>
    <row r="21" spans="1:13" x14ac:dyDescent="0.2">
      <c r="A21" t="s">
        <v>110</v>
      </c>
      <c r="B21">
        <v>16</v>
      </c>
      <c r="C21">
        <v>11</v>
      </c>
      <c r="D21" t="s">
        <v>99</v>
      </c>
      <c r="E21">
        <v>5</v>
      </c>
      <c r="F21">
        <v>6.39</v>
      </c>
      <c r="G21">
        <v>5</v>
      </c>
      <c r="H21">
        <v>994.98</v>
      </c>
      <c r="I21">
        <v>10</v>
      </c>
      <c r="J21">
        <v>5</v>
      </c>
      <c r="K21">
        <v>60.75</v>
      </c>
      <c r="L21">
        <v>5</v>
      </c>
      <c r="M21">
        <v>379.15</v>
      </c>
    </row>
    <row r="22" spans="1:13" x14ac:dyDescent="0.2">
      <c r="A22" t="s">
        <v>111</v>
      </c>
      <c r="B22">
        <v>14</v>
      </c>
      <c r="C22">
        <v>14</v>
      </c>
      <c r="D22" t="s">
        <v>99</v>
      </c>
      <c r="E22">
        <v>5</v>
      </c>
      <c r="F22">
        <v>1.86</v>
      </c>
      <c r="G22">
        <v>5</v>
      </c>
      <c r="H22">
        <v>741.38</v>
      </c>
      <c r="I22">
        <v>11</v>
      </c>
      <c r="J22">
        <v>5</v>
      </c>
      <c r="K22">
        <v>64.86</v>
      </c>
      <c r="L22">
        <v>5</v>
      </c>
      <c r="M22">
        <v>357.08</v>
      </c>
    </row>
    <row r="23" spans="1:13" x14ac:dyDescent="0.2">
      <c r="A23" t="s">
        <v>112</v>
      </c>
      <c r="B23">
        <v>15</v>
      </c>
      <c r="C23">
        <v>17</v>
      </c>
      <c r="D23" t="s">
        <v>99</v>
      </c>
      <c r="E23">
        <v>5</v>
      </c>
      <c r="F23">
        <v>3.03</v>
      </c>
      <c r="G23">
        <v>5</v>
      </c>
      <c r="H23">
        <v>638.70000000000005</v>
      </c>
      <c r="I23">
        <v>12</v>
      </c>
      <c r="J23">
        <v>5</v>
      </c>
      <c r="K23">
        <v>35.44</v>
      </c>
      <c r="L23">
        <v>5</v>
      </c>
      <c r="M23">
        <v>587.76</v>
      </c>
    </row>
    <row r="24" spans="1:13" x14ac:dyDescent="0.2">
      <c r="A24" t="s">
        <v>113</v>
      </c>
      <c r="B24">
        <v>12</v>
      </c>
      <c r="C24">
        <v>11</v>
      </c>
      <c r="D24" t="s">
        <v>99</v>
      </c>
      <c r="E24">
        <v>5</v>
      </c>
      <c r="F24">
        <v>17.66</v>
      </c>
      <c r="G24">
        <v>5</v>
      </c>
      <c r="H24">
        <v>1522.43</v>
      </c>
      <c r="I24">
        <v>12</v>
      </c>
      <c r="J24">
        <v>5</v>
      </c>
      <c r="K24">
        <v>82.35</v>
      </c>
      <c r="L24">
        <v>5</v>
      </c>
      <c r="M24">
        <v>984.03</v>
      </c>
    </row>
    <row r="25" spans="1:13" x14ac:dyDescent="0.2">
      <c r="A25" t="s">
        <v>114</v>
      </c>
      <c r="B25">
        <v>19</v>
      </c>
      <c r="C25" t="s">
        <v>98</v>
      </c>
      <c r="D25" t="s">
        <v>99</v>
      </c>
      <c r="E25" t="s">
        <v>98</v>
      </c>
      <c r="F25" t="s">
        <v>99</v>
      </c>
      <c r="G25">
        <v>18</v>
      </c>
      <c r="H25" t="s">
        <v>99</v>
      </c>
      <c r="I25">
        <v>18</v>
      </c>
      <c r="J25" t="s">
        <v>98</v>
      </c>
      <c r="K25" t="s">
        <v>99</v>
      </c>
      <c r="L25" t="s">
        <v>98</v>
      </c>
      <c r="M25" t="s">
        <v>99</v>
      </c>
    </row>
    <row r="26" spans="1:13" x14ac:dyDescent="0.2">
      <c r="A26" t="s">
        <v>115</v>
      </c>
      <c r="B26">
        <v>19</v>
      </c>
      <c r="C26" t="s">
        <v>98</v>
      </c>
      <c r="D26" t="s">
        <v>99</v>
      </c>
      <c r="E26">
        <v>6</v>
      </c>
      <c r="F26">
        <v>4151.7</v>
      </c>
      <c r="G26" t="s">
        <v>98</v>
      </c>
      <c r="H26" t="s">
        <v>99</v>
      </c>
      <c r="I26">
        <v>16</v>
      </c>
      <c r="J26" t="s">
        <v>98</v>
      </c>
      <c r="K26" t="s">
        <v>99</v>
      </c>
      <c r="L26" t="s">
        <v>98</v>
      </c>
      <c r="M26" t="s">
        <v>99</v>
      </c>
    </row>
    <row r="27" spans="1:13" x14ac:dyDescent="0.2">
      <c r="A27" t="s">
        <v>116</v>
      </c>
      <c r="B27">
        <v>18</v>
      </c>
      <c r="C27" t="s">
        <v>98</v>
      </c>
      <c r="D27" t="s">
        <v>99</v>
      </c>
      <c r="E27">
        <v>6</v>
      </c>
      <c r="F27">
        <v>7347</v>
      </c>
      <c r="G27" t="s">
        <v>98</v>
      </c>
      <c r="H27" t="s">
        <v>99</v>
      </c>
      <c r="I27">
        <v>15</v>
      </c>
      <c r="J27" t="s">
        <v>98</v>
      </c>
      <c r="K27" t="s">
        <v>99</v>
      </c>
      <c r="L27" t="s">
        <v>98</v>
      </c>
      <c r="M27" t="s">
        <v>99</v>
      </c>
    </row>
    <row r="28" spans="1:13" x14ac:dyDescent="0.2">
      <c r="A28" t="s">
        <v>117</v>
      </c>
      <c r="B28">
        <v>19</v>
      </c>
      <c r="C28" t="s">
        <v>98</v>
      </c>
      <c r="D28" t="s">
        <v>99</v>
      </c>
      <c r="E28">
        <v>6</v>
      </c>
      <c r="F28">
        <v>1485.5</v>
      </c>
      <c r="G28" t="s">
        <v>98</v>
      </c>
      <c r="H28" t="s">
        <v>99</v>
      </c>
      <c r="I28">
        <v>14</v>
      </c>
      <c r="J28" t="s">
        <v>98</v>
      </c>
      <c r="K28" t="s">
        <v>99</v>
      </c>
      <c r="L28">
        <v>12</v>
      </c>
      <c r="M28" t="s">
        <v>99</v>
      </c>
    </row>
    <row r="29" spans="1:13" x14ac:dyDescent="0.2">
      <c r="A29" t="s">
        <v>118</v>
      </c>
      <c r="B29">
        <v>15</v>
      </c>
      <c r="C29" t="s">
        <v>98</v>
      </c>
      <c r="D29" t="s">
        <v>99</v>
      </c>
      <c r="E29">
        <v>6</v>
      </c>
      <c r="F29">
        <v>241</v>
      </c>
      <c r="G29" t="s">
        <v>98</v>
      </c>
      <c r="H29" t="s">
        <v>99</v>
      </c>
      <c r="I29">
        <v>14</v>
      </c>
      <c r="J29" t="s">
        <v>98</v>
      </c>
      <c r="K29" t="s">
        <v>99</v>
      </c>
      <c r="L29" t="s">
        <v>98</v>
      </c>
      <c r="M29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E098-CC77-194F-9D5E-ACC96617E67A}">
  <dimension ref="A2:AR35"/>
  <sheetViews>
    <sheetView topLeftCell="J1" workbookViewId="0">
      <selection activeCell="AM5" sqref="AM5"/>
    </sheetView>
  </sheetViews>
  <sheetFormatPr baseColWidth="10" defaultRowHeight="16" x14ac:dyDescent="0.2"/>
  <cols>
    <col min="1" max="1" width="6.83203125" customWidth="1"/>
    <col min="2" max="2" width="12.33203125" bestFit="1" customWidth="1"/>
    <col min="3" max="3" width="4.1640625" bestFit="1" customWidth="1"/>
    <col min="4" max="16" width="7.6640625" customWidth="1"/>
    <col min="18" max="18" width="10.1640625" bestFit="1" customWidth="1"/>
    <col min="19" max="19" width="5.33203125" bestFit="1" customWidth="1"/>
    <col min="20" max="20" width="6.5" bestFit="1" customWidth="1"/>
    <col min="21" max="21" width="5.5" bestFit="1" customWidth="1"/>
    <col min="22" max="23" width="5.33203125" bestFit="1" customWidth="1"/>
    <col min="24" max="24" width="6.5" bestFit="1" customWidth="1"/>
    <col min="25" max="25" width="5.5" bestFit="1" customWidth="1"/>
    <col min="26" max="27" width="5.33203125" bestFit="1" customWidth="1"/>
    <col min="28" max="28" width="6.5" bestFit="1" customWidth="1"/>
    <col min="29" max="30" width="5.5" bestFit="1" customWidth="1"/>
    <col min="31" max="31" width="6" style="1" bestFit="1" customWidth="1"/>
    <col min="32" max="32" width="6.83203125" style="1" bestFit="1" customWidth="1"/>
    <col min="33" max="33" width="7.83203125" style="1" bestFit="1" customWidth="1"/>
    <col min="34" max="34" width="6.33203125" style="1" bestFit="1" customWidth="1"/>
    <col min="35" max="35" width="6.33203125" bestFit="1" customWidth="1"/>
    <col min="36" max="36" width="6.83203125" bestFit="1" customWidth="1"/>
    <col min="37" max="37" width="7.83203125" bestFit="1" customWidth="1"/>
    <col min="38" max="39" width="5.1640625" bestFit="1" customWidth="1"/>
    <col min="40" max="40" width="6.83203125" bestFit="1" customWidth="1"/>
    <col min="41" max="41" width="7.83203125" bestFit="1" customWidth="1"/>
    <col min="42" max="44" width="6.33203125" bestFit="1" customWidth="1"/>
  </cols>
  <sheetData>
    <row r="2" spans="1:44" x14ac:dyDescent="0.2">
      <c r="A2" t="s">
        <v>245</v>
      </c>
    </row>
    <row r="3" spans="1:44" x14ac:dyDescent="0.2">
      <c r="A3" t="s">
        <v>222</v>
      </c>
    </row>
    <row r="5" spans="1:44" x14ac:dyDescent="0.2">
      <c r="D5">
        <v>1</v>
      </c>
      <c r="E5" t="s">
        <v>239</v>
      </c>
      <c r="F5">
        <v>2</v>
      </c>
      <c r="G5">
        <v>3</v>
      </c>
      <c r="H5">
        <v>4</v>
      </c>
      <c r="I5" t="s">
        <v>240</v>
      </c>
      <c r="J5">
        <v>5</v>
      </c>
      <c r="K5">
        <v>6</v>
      </c>
      <c r="L5">
        <v>7</v>
      </c>
      <c r="M5" t="s">
        <v>241</v>
      </c>
      <c r="N5">
        <v>8</v>
      </c>
      <c r="O5">
        <v>9</v>
      </c>
      <c r="P5">
        <v>10</v>
      </c>
    </row>
    <row r="7" spans="1:44" x14ac:dyDescent="0.2">
      <c r="C7" t="s">
        <v>242</v>
      </c>
      <c r="D7" t="s">
        <v>243</v>
      </c>
      <c r="R7" t="s">
        <v>244</v>
      </c>
      <c r="AF7" s="1" t="s">
        <v>122</v>
      </c>
    </row>
    <row r="8" spans="1:44" x14ac:dyDescent="0.2">
      <c r="A8" t="s">
        <v>221</v>
      </c>
      <c r="D8" t="str" cm="1">
        <f t="array" aca="1" ref="D8" ca="1">SUBSTITUTE(INDIRECT("Sheet"&amp;D$5&amp;"!a1"),$A$2,"")</f>
        <v>tket_optimized_0cost_swaps</v>
      </c>
      <c r="E8" t="str" cm="1">
        <f t="array" aca="1" ref="E8" ca="1">SUBSTITUTE(INDIRECT("Sheet"&amp;E$5&amp;"!a1"),$A$2,"")</f>
        <v>tket_optimized_0cost_swaps</v>
      </c>
      <c r="F8" t="str" cm="1">
        <f t="array" aca="1" ref="F8" ca="1">SUBSTITUTE(INDIRECT("Sheet"&amp;F$5&amp;"!a1"),$A$2,"")</f>
        <v>tket_optimized_0cost_swaps</v>
      </c>
      <c r="G8" t="str" cm="1">
        <f t="array" aca="1" ref="G8" ca="1">SUBSTITUTE(INDIRECT("Sheet"&amp;G$5&amp;"!a1"),$A$2,"")</f>
        <v>tket_optimized_0cost_swaps</v>
      </c>
      <c r="H8" t="str" cm="1">
        <f t="array" aca="1" ref="H8" ca="1">SUBSTITUTE(INDIRECT("Sheet"&amp;H$5&amp;"!a1"),$A$2,"")</f>
        <v>tket_optimized_without_swaps_no_u3_gates</v>
      </c>
      <c r="I8" t="str" cm="1">
        <f t="array" aca="1" ref="I8" ca="1">SUBSTITUTE(INDIRECT("Sheet"&amp;I$5&amp;"!a1"),$A$2,"")</f>
        <v>tket_optimized_without_swaps_gates</v>
      </c>
      <c r="J8" t="str" cm="1">
        <f t="array" aca="1" ref="J8" ca="1">SUBSTITUTE(INDIRECT("Sheet"&amp;J$5&amp;"!a1"),$A$2,"")</f>
        <v>tket_optimized_without_swaps_gates</v>
      </c>
      <c r="K8" t="str" cm="1">
        <f t="array" aca="1" ref="K8" ca="1">SUBSTITUTE(INDIRECT("Sheet"&amp;K$5&amp;"!a1"),$A$2,"")</f>
        <v>tket_optimized_without_swaps_gates</v>
      </c>
      <c r="L8" t="str" cm="1">
        <f t="array" aca="1" ref="L8" ca="1">SUBSTITUTE(INDIRECT("Sheet"&amp;L$5&amp;"!a1"),$A$2,"")</f>
        <v>tket_optimized_without_swaps</v>
      </c>
      <c r="M8" t="str" cm="1">
        <f t="array" aca="1" ref="M8" ca="1">SUBSTITUTE(INDIRECT("Sheet"&amp;M$5&amp;"!a1"),$A$2,"")</f>
        <v>tket_optimized_without_swaps_no_u3_gates</v>
      </c>
      <c r="N8" t="str" cm="1">
        <f t="array" aca="1" ref="N8" ca="1">SUBSTITUTE(INDIRECT("Sheet"&amp;N$5&amp;"!a1"),$A$2,"")</f>
        <v>tket_optimized_without_swaps_no_u3_gates</v>
      </c>
      <c r="O8" t="str" cm="1">
        <f t="array" aca="1" ref="O8" ca="1">SUBSTITUTE(INDIRECT("Sheet"&amp;O$5&amp;"!a1"),$A$2,"")</f>
        <v>tket_optimized_without_swaps_no_u3_gates</v>
      </c>
      <c r="P8" t="str" cm="1">
        <f t="array" aca="1" ref="P8" ca="1">SUBSTITUTE(INDIRECT("Sheet"&amp;P$5&amp;"!a1"),$A$2,"")</f>
        <v>qsynth_0cost_swaps</v>
      </c>
    </row>
    <row r="9" spans="1:44" x14ac:dyDescent="0.2">
      <c r="A9" t="s">
        <v>220</v>
      </c>
      <c r="D9" t="str" cm="1">
        <f t="array" aca="1" ref="D9" ca="1">SUBSTITUTE(INDIRECT("Sheet"&amp;D$5&amp;"!a2"),$A$3,"")</f>
        <v>astar</v>
      </c>
      <c r="E9" t="str" cm="1">
        <f t="array" aca="1" ref="E9" ca="1">SUBSTITUTE(INDIRECT("Sheet"&amp;E$5&amp;"!a2"),$A$3,"")</f>
        <v>astar</v>
      </c>
      <c r="F9" t="str" cm="1">
        <f t="array" aca="1" ref="F9" ca="1">SUBSTITUTE(INDIRECT("Sheet"&amp;F$5&amp;"!a2"),$A$3,"")</f>
        <v>greedy</v>
      </c>
      <c r="G9" t="str" cm="1">
        <f t="array" aca="1" ref="G9" ca="1">SUBSTITUTE(INDIRECT("Sheet"&amp;G$5&amp;"!a2"),$A$3,"")</f>
        <v>qiskit</v>
      </c>
      <c r="H9" t="str" cm="1">
        <f t="array" aca="1" ref="H9" ca="1">SUBSTITUTE(INDIRECT("Sheet"&amp;H$5&amp;"!a2"),$A$3,"")</f>
        <v>astar</v>
      </c>
      <c r="I9" t="str" cm="1">
        <f t="array" aca="1" ref="I9" ca="1">SUBSTITUTE(INDIRECT("Sheet"&amp;I$5&amp;"!a2"),$A$3,"")</f>
        <v>astar</v>
      </c>
      <c r="J9" t="str" cm="1">
        <f t="array" aca="1" ref="J9" ca="1">SUBSTITUTE(INDIRECT("Sheet"&amp;J$5&amp;"!a2"),$A$3,"")</f>
        <v>greedy</v>
      </c>
      <c r="K9" t="str" cm="1">
        <f t="array" aca="1" ref="K9" ca="1">SUBSTITUTE(INDIRECT("Sheet"&amp;K$5&amp;"!a2"),$A$3,"")</f>
        <v>qiskit</v>
      </c>
      <c r="L9" t="str" cm="1">
        <f t="array" aca="1" ref="L9" ca="1">SUBSTITUTE(INDIRECT("Sheet"&amp;L$5&amp;"!a2"),$A$3,"")</f>
        <v>astar</v>
      </c>
      <c r="M9" t="str" cm="1">
        <f t="array" aca="1" ref="M9" ca="1">SUBSTITUTE(INDIRECT("Sheet"&amp;M$5&amp;"!a2"),$A$3,"")</f>
        <v>astar</v>
      </c>
      <c r="N9" t="str" cm="1">
        <f t="array" aca="1" ref="N9" ca="1">SUBSTITUTE(INDIRECT("Sheet"&amp;N$5&amp;"!a2"),$A$3,"")</f>
        <v>greedy</v>
      </c>
      <c r="O9" t="str" cm="1">
        <f t="array" aca="1" ref="O9" ca="1">SUBSTITUTE(INDIRECT("Sheet"&amp;O$5&amp;"!a2"),$A$3,"")</f>
        <v>qiskit</v>
      </c>
      <c r="P9" t="str" cm="1">
        <f t="array" aca="1" ref="P9" ca="1">SUBSTITUTE(INDIRECT("Sheet"&amp;P$5&amp;"!a2"),$A$3,"")</f>
        <v>optimal</v>
      </c>
      <c r="R9" t="str">
        <f ca="1">D9</f>
        <v>astar</v>
      </c>
      <c r="S9" t="str">
        <f ca="1">E9</f>
        <v>astar</v>
      </c>
      <c r="T9" t="str">
        <f ca="1">F9</f>
        <v>greedy</v>
      </c>
      <c r="U9" t="str">
        <f ca="1">G9</f>
        <v>qiskit</v>
      </c>
      <c r="V9" t="str">
        <f ca="1">H9</f>
        <v>astar</v>
      </c>
      <c r="W9" t="str">
        <f ca="1">I9</f>
        <v>astar</v>
      </c>
      <c r="X9" t="str">
        <f ca="1">J9</f>
        <v>greedy</v>
      </c>
      <c r="Y9" t="str">
        <f ca="1">K9</f>
        <v>qiskit</v>
      </c>
      <c r="Z9" t="str">
        <f ca="1">L9</f>
        <v>astar</v>
      </c>
      <c r="AA9" t="str">
        <f ca="1">M9</f>
        <v>astar</v>
      </c>
      <c r="AB9" t="str">
        <f ca="1">N9</f>
        <v>greedy</v>
      </c>
      <c r="AC9" t="str">
        <f ca="1">O9</f>
        <v>qiskit</v>
      </c>
      <c r="AD9" t="str">
        <f ca="1">P9</f>
        <v>optimal</v>
      </c>
      <c r="AF9" t="str">
        <f t="shared" ref="AF9:AR9" ca="1" si="0">R9</f>
        <v>astar</v>
      </c>
      <c r="AG9" t="str">
        <f t="shared" ca="1" si="0"/>
        <v>astar</v>
      </c>
      <c r="AH9" t="str">
        <f t="shared" ca="1" si="0"/>
        <v>greedy</v>
      </c>
      <c r="AI9" t="str">
        <f t="shared" ca="1" si="0"/>
        <v>qiskit</v>
      </c>
      <c r="AJ9" t="str">
        <f t="shared" ca="1" si="0"/>
        <v>astar</v>
      </c>
      <c r="AK9" t="str">
        <f t="shared" ca="1" si="0"/>
        <v>astar</v>
      </c>
      <c r="AL9" t="str">
        <f t="shared" ca="1" si="0"/>
        <v>greedy</v>
      </c>
      <c r="AM9" t="str">
        <f t="shared" ca="1" si="0"/>
        <v>qiskit</v>
      </c>
      <c r="AN9" t="str">
        <f t="shared" ca="1" si="0"/>
        <v>astar</v>
      </c>
      <c r="AO9" t="str">
        <f t="shared" ca="1" si="0"/>
        <v>astar</v>
      </c>
      <c r="AP9" t="str">
        <f t="shared" ca="1" si="0"/>
        <v>greedy</v>
      </c>
      <c r="AQ9" t="str">
        <f t="shared" ca="1" si="0"/>
        <v>qiskit</v>
      </c>
      <c r="AR9" t="str">
        <f t="shared" ca="1" si="0"/>
        <v>optimal</v>
      </c>
    </row>
    <row r="10" spans="1:44" x14ac:dyDescent="0.2">
      <c r="A10" t="s">
        <v>219</v>
      </c>
      <c r="D10">
        <f t="shared" ref="D10:P10" ca="1" si="1">COUNT(INDIRECT("Sheet"&amp;D$5&amp;"!c:c"))</f>
        <v>25</v>
      </c>
      <c r="E10">
        <f t="shared" ca="1" si="1"/>
        <v>25</v>
      </c>
      <c r="F10">
        <f t="shared" ca="1" si="1"/>
        <v>25</v>
      </c>
      <c r="G10">
        <f t="shared" ca="1" si="1"/>
        <v>25</v>
      </c>
      <c r="H10">
        <f t="shared" ca="1" si="1"/>
        <v>25</v>
      </c>
      <c r="I10">
        <f t="shared" ca="1" si="1"/>
        <v>0</v>
      </c>
      <c r="J10">
        <f t="shared" ca="1" si="1"/>
        <v>0</v>
      </c>
      <c r="K10">
        <f t="shared" ca="1" si="1"/>
        <v>0</v>
      </c>
      <c r="L10">
        <f t="shared" ca="1" si="1"/>
        <v>25</v>
      </c>
      <c r="M10">
        <f t="shared" ca="1" si="1"/>
        <v>25</v>
      </c>
      <c r="N10">
        <f t="shared" ca="1" si="1"/>
        <v>25</v>
      </c>
      <c r="O10">
        <f t="shared" ca="1" si="1"/>
        <v>25</v>
      </c>
      <c r="P10">
        <f t="shared" ca="1" si="1"/>
        <v>25</v>
      </c>
    </row>
    <row r="11" spans="1:44" x14ac:dyDescent="0.2">
      <c r="A11">
        <v>1</v>
      </c>
      <c r="B11" t="s">
        <v>34</v>
      </c>
      <c r="C11">
        <v>3</v>
      </c>
      <c r="D11">
        <f ca="1">MATCH($A11,INDIRECT("Sheet"&amp;D$5&amp;"!a:a"),)</f>
        <v>19</v>
      </c>
      <c r="E11">
        <f t="shared" ref="E11:P26" ca="1" si="2">MATCH($A11,INDIRECT("Sheet"&amp;E$5&amp;"!a:a"),)</f>
        <v>19</v>
      </c>
      <c r="F11">
        <f t="shared" ca="1" si="2"/>
        <v>19</v>
      </c>
      <c r="G11">
        <f t="shared" ca="1" si="2"/>
        <v>19</v>
      </c>
      <c r="H11">
        <f t="shared" ca="1" si="2"/>
        <v>19</v>
      </c>
      <c r="I11" t="e">
        <f t="shared" ca="1" si="2"/>
        <v>#N/A</v>
      </c>
      <c r="J11" t="e">
        <f t="shared" ca="1" si="2"/>
        <v>#N/A</v>
      </c>
      <c r="K11" t="e">
        <f t="shared" ca="1" si="2"/>
        <v>#N/A</v>
      </c>
      <c r="L11">
        <f t="shared" ca="1" si="2"/>
        <v>19</v>
      </c>
      <c r="M11">
        <f t="shared" ca="1" si="2"/>
        <v>19</v>
      </c>
      <c r="N11">
        <f t="shared" ca="1" si="2"/>
        <v>19</v>
      </c>
      <c r="O11">
        <f t="shared" ca="1" si="2"/>
        <v>19</v>
      </c>
      <c r="P11">
        <f t="shared" ca="1" si="2"/>
        <v>19</v>
      </c>
      <c r="R11" cm="1">
        <f t="array" aca="1" ref="R11" ca="1">OFFSET(INDIRECT("Sheet"&amp;D$5&amp;"!d1"),D11-1,)</f>
        <v>2</v>
      </c>
      <c r="S11" cm="1">
        <f t="array" aca="1" ref="S11" ca="1">OFFSET(INDIRECT("Sheet"&amp;E$5&amp;"!d1"),E11-1,)</f>
        <v>2</v>
      </c>
      <c r="T11" cm="1">
        <f t="array" aca="1" ref="T11" ca="1">OFFSET(INDIRECT("Sheet"&amp;F$5&amp;"!d1"),F11-1,)</f>
        <v>2</v>
      </c>
      <c r="U11" cm="1">
        <f t="array" aca="1" ref="U11" ca="1">OFFSET(INDIRECT("Sheet"&amp;G$5&amp;"!d1"),G11-1,)</f>
        <v>5</v>
      </c>
      <c r="V11" cm="1">
        <f t="array" aca="1" ref="V11" ca="1">OFFSET(INDIRECT("Sheet"&amp;H$5&amp;"!d1"),H11-1,)</f>
        <v>2</v>
      </c>
      <c r="W11" t="e" cm="1">
        <f t="array" aca="1" ref="W11" ca="1">OFFSET(INDIRECT("Sheet"&amp;I$5&amp;"!d1"),I11-1,)</f>
        <v>#N/A</v>
      </c>
      <c r="X11" t="e" cm="1">
        <f t="array" aca="1" ref="X11" ca="1">OFFSET(INDIRECT("Sheet"&amp;J$5&amp;"!d1"),J11-1,)</f>
        <v>#N/A</v>
      </c>
      <c r="Y11" t="e" cm="1">
        <f t="array" aca="1" ref="Y11" ca="1">OFFSET(INDIRECT("Sheet"&amp;K$5&amp;"!d1"),K11-1,)</f>
        <v>#N/A</v>
      </c>
      <c r="Z11" cm="1">
        <f t="array" aca="1" ref="Z11" ca="1">OFFSET(INDIRECT("Sheet"&amp;L$5&amp;"!d1"),L11-1,)</f>
        <v>2</v>
      </c>
      <c r="AA11" cm="1">
        <f t="array" aca="1" ref="AA11" ca="1">OFFSET(INDIRECT("Sheet"&amp;M$5&amp;"!d1"),M11-1,)</f>
        <v>2</v>
      </c>
      <c r="AB11" cm="1">
        <f t="array" aca="1" ref="AB11" ca="1">OFFSET(INDIRECT("Sheet"&amp;N$5&amp;"!d1"),N11-1,)</f>
        <v>2</v>
      </c>
      <c r="AC11" cm="1">
        <f t="array" aca="1" ref="AC11" ca="1">OFFSET(INDIRECT("Sheet"&amp;O$5&amp;"!d1"),O11-1,)</f>
        <v>5</v>
      </c>
      <c r="AD11" cm="1">
        <f t="array" aca="1" ref="AD11" ca="1">OFFSET(INDIRECT("Sheet"&amp;P$5&amp;"!d1"),P11-1,)</f>
        <v>2</v>
      </c>
      <c r="AF11" s="2" cm="1">
        <f t="array" aca="1" ref="AF11" ca="1">OFFSET(INDIRECT("Sheet"&amp;D$5&amp;"!f1"),D11-1,)</f>
        <v>0.36817837000000903</v>
      </c>
      <c r="AG11" s="2" cm="1">
        <f t="array" aca="1" ref="AG11" ca="1">OFFSET(INDIRECT("Sheet"&amp;E$5&amp;"!f1"),E11-1,)</f>
        <v>0.26445426601276201</v>
      </c>
      <c r="AH11" s="2" cm="1">
        <f t="array" aca="1" ref="AH11" ca="1">OFFSET(INDIRECT("Sheet"&amp;F$5&amp;"!f1"),F11-1,)</f>
        <v>0.304443262997665</v>
      </c>
      <c r="AI11" s="2" cm="1">
        <f t="array" aca="1" ref="AI11" ca="1">OFFSET(INDIRECT("Sheet"&amp;G$5&amp;"!f1"),G11-1,)</f>
        <v>2.2555813193321202E-3</v>
      </c>
      <c r="AJ11" s="2" cm="1">
        <f t="array" aca="1" ref="AJ11" ca="1">OFFSET(INDIRECT("Sheet"&amp;H$5&amp;"!f1"),H11-1,)</f>
        <v>0.36734438599998498</v>
      </c>
      <c r="AK11" s="2" t="e" cm="1">
        <f t="array" aca="1" ref="AK11" ca="1">OFFSET(INDIRECT("Sheet"&amp;I$5&amp;"!f1"),I11-1,)</f>
        <v>#N/A</v>
      </c>
      <c r="AL11" s="2" t="e" cm="1">
        <f t="array" aca="1" ref="AL11" ca="1">OFFSET(INDIRECT("Sheet"&amp;J$5&amp;"!f1"),J11-1,)</f>
        <v>#N/A</v>
      </c>
      <c r="AM11" s="2" t="e" cm="1">
        <f t="array" aca="1" ref="AM11" ca="1">OFFSET(INDIRECT("Sheet"&amp;K$5&amp;"!f1"),K11-1,)</f>
        <v>#N/A</v>
      </c>
      <c r="AN11" s="2" cm="1">
        <f t="array" aca="1" ref="AN11" ca="1">OFFSET(INDIRECT("Sheet"&amp;L$5&amp;"!f1"),L11-1,)</f>
        <v>0.27015207700000499</v>
      </c>
      <c r="AO11" s="2" cm="1">
        <f t="array" aca="1" ref="AO11" ca="1">OFFSET(INDIRECT("Sheet"&amp;M$5&amp;"!f1"),M11-1,)</f>
        <v>0.26687817300262301</v>
      </c>
      <c r="AP11" s="2" cm="1">
        <f t="array" aca="1" ref="AP11" ca="1">OFFSET(INDIRECT("Sheet"&amp;N$5&amp;"!f1"),N11-1,)</f>
        <v>0.29327327699866101</v>
      </c>
      <c r="AQ11" s="2" cm="1">
        <f t="array" aca="1" ref="AQ11" ca="1">OFFSET(INDIRECT("Sheet"&amp;O$5&amp;"!f1"),O11-1,)</f>
        <v>2.2223964333534202E-3</v>
      </c>
      <c r="AR11" s="2" cm="1">
        <f t="array" aca="1" ref="AR11" ca="1">OFFSET(INDIRECT("Sheet"&amp;P$5&amp;"!f1"),P11-1,)</f>
        <v>1.0961707997921601E-2</v>
      </c>
    </row>
    <row r="12" spans="1:44" x14ac:dyDescent="0.2">
      <c r="A12">
        <v>2</v>
      </c>
      <c r="B12" t="s">
        <v>38</v>
      </c>
      <c r="C12">
        <v>3</v>
      </c>
      <c r="D12">
        <f t="shared" ref="D12:O35" ca="1" si="3">MATCH($A12,INDIRECT("Sheet"&amp;D$5&amp;"!a:a"),)</f>
        <v>20</v>
      </c>
      <c r="E12">
        <f t="shared" ca="1" si="3"/>
        <v>20</v>
      </c>
      <c r="F12">
        <f t="shared" ca="1" si="3"/>
        <v>20</v>
      </c>
      <c r="G12">
        <f t="shared" ca="1" si="3"/>
        <v>20</v>
      </c>
      <c r="H12">
        <f t="shared" ca="1" si="3"/>
        <v>20</v>
      </c>
      <c r="I12" t="e">
        <f t="shared" ca="1" si="2"/>
        <v>#N/A</v>
      </c>
      <c r="J12" t="e">
        <f t="shared" ca="1" si="3"/>
        <v>#N/A</v>
      </c>
      <c r="K12" t="e">
        <f t="shared" ca="1" si="3"/>
        <v>#N/A</v>
      </c>
      <c r="L12">
        <f t="shared" ca="1" si="3"/>
        <v>20</v>
      </c>
      <c r="M12">
        <f t="shared" ca="1" si="2"/>
        <v>20</v>
      </c>
      <c r="N12">
        <f t="shared" ca="1" si="3"/>
        <v>20</v>
      </c>
      <c r="O12">
        <f t="shared" ca="1" si="3"/>
        <v>20</v>
      </c>
      <c r="P12">
        <f t="shared" ca="1" si="2"/>
        <v>20</v>
      </c>
      <c r="R12" cm="1">
        <f t="array" aca="1" ref="R12" ca="1">OFFSET(INDIRECT("Sheet"&amp;D$5&amp;"!d1"),D12-1,)</f>
        <v>3</v>
      </c>
      <c r="S12" cm="1">
        <f t="array" aca="1" ref="S12" ca="1">OFFSET(INDIRECT("Sheet"&amp;E$5&amp;"!d1"),E12-1,)</f>
        <v>3</v>
      </c>
      <c r="T12" cm="1">
        <f t="array" aca="1" ref="T12" ca="1">OFFSET(INDIRECT("Sheet"&amp;F$5&amp;"!d1"),F12-1,)</f>
        <v>3</v>
      </c>
      <c r="U12" cm="1">
        <f t="array" aca="1" ref="U12" ca="1">OFFSET(INDIRECT("Sheet"&amp;G$5&amp;"!d1"),G12-1,)</f>
        <v>5</v>
      </c>
      <c r="V12" cm="1">
        <f t="array" aca="1" ref="V12" ca="1">OFFSET(INDIRECT("Sheet"&amp;H$5&amp;"!d1"),H12-1,)</f>
        <v>3</v>
      </c>
      <c r="W12" t="e" cm="1">
        <f t="array" aca="1" ref="W12" ca="1">OFFSET(INDIRECT("Sheet"&amp;I$5&amp;"!d1"),I12-1,)</f>
        <v>#N/A</v>
      </c>
      <c r="X12" t="e" cm="1">
        <f t="array" aca="1" ref="X12" ca="1">OFFSET(INDIRECT("Sheet"&amp;J$5&amp;"!d1"),J12-1,)</f>
        <v>#N/A</v>
      </c>
      <c r="Y12" t="e" cm="1">
        <f t="array" aca="1" ref="Y12" ca="1">OFFSET(INDIRECT("Sheet"&amp;K$5&amp;"!d1"),K12-1,)</f>
        <v>#N/A</v>
      </c>
      <c r="Z12" cm="1">
        <f t="array" aca="1" ref="Z12" ca="1">OFFSET(INDIRECT("Sheet"&amp;L$5&amp;"!d1"),L12-1,)</f>
        <v>3</v>
      </c>
      <c r="AA12" cm="1">
        <f t="array" aca="1" ref="AA12" ca="1">OFFSET(INDIRECT("Sheet"&amp;M$5&amp;"!d1"),M12-1,)</f>
        <v>3</v>
      </c>
      <c r="AB12" cm="1">
        <f t="array" aca="1" ref="AB12" ca="1">OFFSET(INDIRECT("Sheet"&amp;N$5&amp;"!d1"),N12-1,)</f>
        <v>3</v>
      </c>
      <c r="AC12" cm="1">
        <f t="array" aca="1" ref="AC12" ca="1">OFFSET(INDIRECT("Sheet"&amp;O$5&amp;"!d1"),O12-1,)</f>
        <v>5</v>
      </c>
      <c r="AD12" cm="1">
        <f t="array" aca="1" ref="AD12" ca="1">OFFSET(INDIRECT("Sheet"&amp;P$5&amp;"!d1"),P12-1,)</f>
        <v>3</v>
      </c>
      <c r="AF12" s="2" cm="1">
        <f t="array" aca="1" ref="AF12" ca="1">OFFSET(INDIRECT("Sheet"&amp;D$5&amp;"!f1"),D12-1,)</f>
        <v>4.9601800000118601E-3</v>
      </c>
      <c r="AG12" s="2" cm="1">
        <f t="array" aca="1" ref="AG12" ca="1">OFFSET(INDIRECT("Sheet"&amp;E$5&amp;"!f1"),E12-1,)</f>
        <v>5.2089689997956096E-3</v>
      </c>
      <c r="AH12" s="2" cm="1">
        <f t="array" aca="1" ref="AH12" ca="1">OFFSET(INDIRECT("Sheet"&amp;F$5&amp;"!f1"),F12-1,)</f>
        <v>6.43362199480179E-3</v>
      </c>
      <c r="AI12" s="2" cm="1">
        <f t="array" aca="1" ref="AI12" ca="1">OFFSET(INDIRECT("Sheet"&amp;G$5&amp;"!f1"),G12-1,)</f>
        <v>1.9067823886871301E-3</v>
      </c>
      <c r="AJ12" s="2" cm="1">
        <f t="array" aca="1" ref="AJ12" ca="1">OFFSET(INDIRECT("Sheet"&amp;H$5&amp;"!f1"),H12-1,)</f>
        <v>4.9159710000026202E-3</v>
      </c>
      <c r="AK12" s="2" t="e" cm="1">
        <f t="array" aca="1" ref="AK12" ca="1">OFFSET(INDIRECT("Sheet"&amp;I$5&amp;"!f1"),I12-1,)</f>
        <v>#N/A</v>
      </c>
      <c r="AL12" s="2" t="e" cm="1">
        <f t="array" aca="1" ref="AL12" ca="1">OFFSET(INDIRECT("Sheet"&amp;J$5&amp;"!f1"),J12-1,)</f>
        <v>#N/A</v>
      </c>
      <c r="AM12" s="2" t="e" cm="1">
        <f t="array" aca="1" ref="AM12" ca="1">OFFSET(INDIRECT("Sheet"&amp;K$5&amp;"!f1"),K12-1,)</f>
        <v>#N/A</v>
      </c>
      <c r="AN12" s="2" cm="1">
        <f t="array" aca="1" ref="AN12" ca="1">OFFSET(INDIRECT("Sheet"&amp;L$5&amp;"!f1"),L12-1,)</f>
        <v>5.0903759999982798E-3</v>
      </c>
      <c r="AO12" s="2" cm="1">
        <f t="array" aca="1" ref="AO12" ca="1">OFFSET(INDIRECT("Sheet"&amp;M$5&amp;"!f1"),M12-1,)</f>
        <v>5.1892019982915302E-3</v>
      </c>
      <c r="AP12" s="2" cm="1">
        <f t="array" aca="1" ref="AP12" ca="1">OFFSET(INDIRECT("Sheet"&amp;N$5&amp;"!f1"),N12-1,)</f>
        <v>6.3735110015841201E-3</v>
      </c>
      <c r="AQ12" s="2" cm="1">
        <f t="array" aca="1" ref="AQ12" ca="1">OFFSET(INDIRECT("Sheet"&amp;O$5&amp;"!f1"),O12-1,)</f>
        <v>1.5851035714149399E-3</v>
      </c>
      <c r="AR12" s="2" cm="1">
        <f t="array" aca="1" ref="AR12" ca="1">OFFSET(INDIRECT("Sheet"&amp;P$5&amp;"!f1"),P12-1,)</f>
        <v>1.35912499899859E-3</v>
      </c>
    </row>
    <row r="13" spans="1:44" x14ac:dyDescent="0.2">
      <c r="A13">
        <v>3</v>
      </c>
      <c r="B13" t="s">
        <v>26</v>
      </c>
      <c r="C13">
        <v>3</v>
      </c>
      <c r="D13">
        <f t="shared" ca="1" si="3"/>
        <v>21</v>
      </c>
      <c r="E13">
        <f t="shared" ca="1" si="3"/>
        <v>21</v>
      </c>
      <c r="F13">
        <f t="shared" ca="1" si="3"/>
        <v>21</v>
      </c>
      <c r="G13">
        <f t="shared" ca="1" si="3"/>
        <v>21</v>
      </c>
      <c r="H13">
        <f t="shared" ca="1" si="3"/>
        <v>21</v>
      </c>
      <c r="I13" t="e">
        <f t="shared" ca="1" si="2"/>
        <v>#N/A</v>
      </c>
      <c r="J13" t="e">
        <f t="shared" ca="1" si="3"/>
        <v>#N/A</v>
      </c>
      <c r="K13" t="e">
        <f t="shared" ca="1" si="3"/>
        <v>#N/A</v>
      </c>
      <c r="L13">
        <f t="shared" ca="1" si="3"/>
        <v>21</v>
      </c>
      <c r="M13">
        <f t="shared" ca="1" si="2"/>
        <v>21</v>
      </c>
      <c r="N13">
        <f t="shared" ca="1" si="3"/>
        <v>21</v>
      </c>
      <c r="O13">
        <f t="shared" ca="1" si="3"/>
        <v>21</v>
      </c>
      <c r="P13">
        <f t="shared" ca="1" si="2"/>
        <v>21</v>
      </c>
      <c r="R13" cm="1">
        <f t="array" aca="1" ref="R13" ca="1">OFFSET(INDIRECT("Sheet"&amp;D$5&amp;"!d1"),D13-1,)</f>
        <v>3</v>
      </c>
      <c r="S13" cm="1">
        <f t="array" aca="1" ref="S13" ca="1">OFFSET(INDIRECT("Sheet"&amp;E$5&amp;"!d1"),E13-1,)</f>
        <v>3</v>
      </c>
      <c r="T13" cm="1">
        <f t="array" aca="1" ref="T13" ca="1">OFFSET(INDIRECT("Sheet"&amp;F$5&amp;"!d1"),F13-1,)</f>
        <v>3</v>
      </c>
      <c r="U13" cm="1">
        <f t="array" aca="1" ref="U13" ca="1">OFFSET(INDIRECT("Sheet"&amp;G$5&amp;"!d1"),G13-1,)</f>
        <v>8</v>
      </c>
      <c r="V13" cm="1">
        <f t="array" aca="1" ref="V13" ca="1">OFFSET(INDIRECT("Sheet"&amp;H$5&amp;"!d1"),H13-1,)</f>
        <v>3</v>
      </c>
      <c r="W13" t="e" cm="1">
        <f t="array" aca="1" ref="W13" ca="1">OFFSET(INDIRECT("Sheet"&amp;I$5&amp;"!d1"),I13-1,)</f>
        <v>#N/A</v>
      </c>
      <c r="X13" t="e" cm="1">
        <f t="array" aca="1" ref="X13" ca="1">OFFSET(INDIRECT("Sheet"&amp;J$5&amp;"!d1"),J13-1,)</f>
        <v>#N/A</v>
      </c>
      <c r="Y13" t="e" cm="1">
        <f t="array" aca="1" ref="Y13" ca="1">OFFSET(INDIRECT("Sheet"&amp;K$5&amp;"!d1"),K13-1,)</f>
        <v>#N/A</v>
      </c>
      <c r="Z13" cm="1">
        <f t="array" aca="1" ref="Z13" ca="1">OFFSET(INDIRECT("Sheet"&amp;L$5&amp;"!d1"),L13-1,)</f>
        <v>3</v>
      </c>
      <c r="AA13" cm="1">
        <f t="array" aca="1" ref="AA13" ca="1">OFFSET(INDIRECT("Sheet"&amp;M$5&amp;"!d1"),M13-1,)</f>
        <v>3</v>
      </c>
      <c r="AB13" cm="1">
        <f t="array" aca="1" ref="AB13" ca="1">OFFSET(INDIRECT("Sheet"&amp;N$5&amp;"!d1"),N13-1,)</f>
        <v>3</v>
      </c>
      <c r="AC13" cm="1">
        <f t="array" aca="1" ref="AC13" ca="1">OFFSET(INDIRECT("Sheet"&amp;O$5&amp;"!d1"),O13-1,)</f>
        <v>8</v>
      </c>
      <c r="AD13" cm="1">
        <f t="array" aca="1" ref="AD13" ca="1">OFFSET(INDIRECT("Sheet"&amp;P$5&amp;"!d1"),P13-1,)</f>
        <v>3</v>
      </c>
      <c r="AF13" s="2" cm="1">
        <f t="array" aca="1" ref="AF13" ca="1">OFFSET(INDIRECT("Sheet"&amp;D$5&amp;"!f1"),D13-1,)</f>
        <v>4.8348509999982499E-3</v>
      </c>
      <c r="AG13" s="2" cm="1">
        <f t="array" aca="1" ref="AG13" ca="1">OFFSET(INDIRECT("Sheet"&amp;E$5&amp;"!f1"),E13-1,)</f>
        <v>4.9792700010584598E-3</v>
      </c>
      <c r="AH13" s="2" cm="1">
        <f t="array" aca="1" ref="AH13" ca="1">OFFSET(INDIRECT("Sheet"&amp;F$5&amp;"!f1"),F13-1,)</f>
        <v>6.1560260073747399E-3</v>
      </c>
      <c r="AI13" s="2" cm="1">
        <f t="array" aca="1" ref="AI13" ca="1">OFFSET(INDIRECT("Sheet"&amp;G$5&amp;"!f1"),G13-1,)</f>
        <v>1.0847449302673301E-3</v>
      </c>
      <c r="AJ13" s="2" cm="1">
        <f t="array" aca="1" ref="AJ13" ca="1">OFFSET(INDIRECT("Sheet"&amp;H$5&amp;"!f1"),H13-1,)</f>
        <v>4.8174529999869204E-3</v>
      </c>
      <c r="AK13" s="2" t="e" cm="1">
        <f t="array" aca="1" ref="AK13" ca="1">OFFSET(INDIRECT("Sheet"&amp;I$5&amp;"!f1"),I13-1,)</f>
        <v>#N/A</v>
      </c>
      <c r="AL13" s="2" t="e" cm="1">
        <f t="array" aca="1" ref="AL13" ca="1">OFFSET(INDIRECT("Sheet"&amp;J$5&amp;"!f1"),J13-1,)</f>
        <v>#N/A</v>
      </c>
      <c r="AM13" s="2" t="e" cm="1">
        <f t="array" aca="1" ref="AM13" ca="1">OFFSET(INDIRECT("Sheet"&amp;K$5&amp;"!f1"),K13-1,)</f>
        <v>#N/A</v>
      </c>
      <c r="AN13" s="2" cm="1">
        <f t="array" aca="1" ref="AN13" ca="1">OFFSET(INDIRECT("Sheet"&amp;L$5&amp;"!f1"),L13-1,)</f>
        <v>4.98095500000772E-3</v>
      </c>
      <c r="AO13" s="2" cm="1">
        <f t="array" aca="1" ref="AO13" ca="1">OFFSET(INDIRECT("Sheet"&amp;M$5&amp;"!f1"),M13-1,)</f>
        <v>4.89031100005377E-3</v>
      </c>
      <c r="AP13" s="2" cm="1">
        <f t="array" aca="1" ref="AP13" ca="1">OFFSET(INDIRECT("Sheet"&amp;N$5&amp;"!f1"),N13-1,)</f>
        <v>6.09677399916108E-3</v>
      </c>
      <c r="AQ13" s="2" cm="1">
        <f t="array" aca="1" ref="AQ13" ca="1">OFFSET(INDIRECT("Sheet"&amp;O$5&amp;"!f1"),O13-1,)</f>
        <v>1.1487454175948999E-3</v>
      </c>
      <c r="AR13" s="2" cm="1">
        <f t="array" aca="1" ref="AR13" ca="1">OFFSET(INDIRECT("Sheet"&amp;P$5&amp;"!f1"),P13-1,)</f>
        <v>1.3523329980671399E-3</v>
      </c>
    </row>
    <row r="14" spans="1:44" x14ac:dyDescent="0.2">
      <c r="A14">
        <v>4</v>
      </c>
      <c r="B14" t="s">
        <v>32</v>
      </c>
      <c r="C14">
        <v>3</v>
      </c>
      <c r="D14">
        <f t="shared" ca="1" si="3"/>
        <v>22</v>
      </c>
      <c r="E14">
        <f t="shared" ca="1" si="3"/>
        <v>22</v>
      </c>
      <c r="F14">
        <f t="shared" ca="1" si="3"/>
        <v>22</v>
      </c>
      <c r="G14">
        <f t="shared" ca="1" si="3"/>
        <v>22</v>
      </c>
      <c r="H14">
        <f t="shared" ca="1" si="3"/>
        <v>22</v>
      </c>
      <c r="I14" t="e">
        <f t="shared" ca="1" si="2"/>
        <v>#N/A</v>
      </c>
      <c r="J14" t="e">
        <f t="shared" ca="1" si="3"/>
        <v>#N/A</v>
      </c>
      <c r="K14" t="e">
        <f t="shared" ca="1" si="3"/>
        <v>#N/A</v>
      </c>
      <c r="L14">
        <f t="shared" ca="1" si="3"/>
        <v>22</v>
      </c>
      <c r="M14">
        <f t="shared" ca="1" si="2"/>
        <v>22</v>
      </c>
      <c r="N14">
        <f t="shared" ca="1" si="3"/>
        <v>22</v>
      </c>
      <c r="O14">
        <f t="shared" ca="1" si="3"/>
        <v>22</v>
      </c>
      <c r="P14">
        <f t="shared" ca="1" si="2"/>
        <v>22</v>
      </c>
      <c r="R14" cm="1">
        <f t="array" aca="1" ref="R14" ca="1">OFFSET(INDIRECT("Sheet"&amp;D$5&amp;"!d1"),D14-1,)</f>
        <v>3</v>
      </c>
      <c r="S14" cm="1">
        <f t="array" aca="1" ref="S14" ca="1">OFFSET(INDIRECT("Sheet"&amp;E$5&amp;"!d1"),E14-1,)</f>
        <v>3</v>
      </c>
      <c r="T14" cm="1">
        <f t="array" aca="1" ref="T14" ca="1">OFFSET(INDIRECT("Sheet"&amp;F$5&amp;"!d1"),F14-1,)</f>
        <v>3</v>
      </c>
      <c r="U14" cm="1">
        <f t="array" aca="1" ref="U14" ca="1">OFFSET(INDIRECT("Sheet"&amp;G$5&amp;"!d1"),G14-1,)</f>
        <v>7</v>
      </c>
      <c r="V14" cm="1">
        <f t="array" aca="1" ref="V14" ca="1">OFFSET(INDIRECT("Sheet"&amp;H$5&amp;"!d1"),H14-1,)</f>
        <v>3</v>
      </c>
      <c r="W14" t="e" cm="1">
        <f t="array" aca="1" ref="W14" ca="1">OFFSET(INDIRECT("Sheet"&amp;I$5&amp;"!d1"),I14-1,)</f>
        <v>#N/A</v>
      </c>
      <c r="X14" t="e" cm="1">
        <f t="array" aca="1" ref="X14" ca="1">OFFSET(INDIRECT("Sheet"&amp;J$5&amp;"!d1"),J14-1,)</f>
        <v>#N/A</v>
      </c>
      <c r="Y14" t="e" cm="1">
        <f t="array" aca="1" ref="Y14" ca="1">OFFSET(INDIRECT("Sheet"&amp;K$5&amp;"!d1"),K14-1,)</f>
        <v>#N/A</v>
      </c>
      <c r="Z14" cm="1">
        <f t="array" aca="1" ref="Z14" ca="1">OFFSET(INDIRECT("Sheet"&amp;L$5&amp;"!d1"),L14-1,)</f>
        <v>3</v>
      </c>
      <c r="AA14" cm="1">
        <f t="array" aca="1" ref="AA14" ca="1">OFFSET(INDIRECT("Sheet"&amp;M$5&amp;"!d1"),M14-1,)</f>
        <v>3</v>
      </c>
      <c r="AB14" cm="1">
        <f t="array" aca="1" ref="AB14" ca="1">OFFSET(INDIRECT("Sheet"&amp;N$5&amp;"!d1"),N14-1,)</f>
        <v>3</v>
      </c>
      <c r="AC14" cm="1">
        <f t="array" aca="1" ref="AC14" ca="1">OFFSET(INDIRECT("Sheet"&amp;O$5&amp;"!d1"),O14-1,)</f>
        <v>7</v>
      </c>
      <c r="AD14" cm="1">
        <f t="array" aca="1" ref="AD14" ca="1">OFFSET(INDIRECT("Sheet"&amp;P$5&amp;"!d1"),P14-1,)</f>
        <v>3</v>
      </c>
      <c r="AF14" s="2" cm="1">
        <f t="array" aca="1" ref="AF14" ca="1">OFFSET(INDIRECT("Sheet"&amp;D$5&amp;"!f1"),D14-1,)</f>
        <v>4.8701409999978296E-3</v>
      </c>
      <c r="AG14" s="2" cm="1">
        <f t="array" aca="1" ref="AG14" ca="1">OFFSET(INDIRECT("Sheet"&amp;E$5&amp;"!f1"),E14-1,)</f>
        <v>5.3539590007858299E-3</v>
      </c>
      <c r="AH14" s="2" cm="1">
        <f t="array" aca="1" ref="AH14" ca="1">OFFSET(INDIRECT("Sheet"&amp;F$5&amp;"!f1"),F14-1,)</f>
        <v>6.3908250012900602E-3</v>
      </c>
      <c r="AI14" s="2" cm="1">
        <f t="array" aca="1" ref="AI14" ca="1">OFFSET(INDIRECT("Sheet"&amp;G$5&amp;"!f1"),G14-1,)</f>
        <v>1.02031230926513E-3</v>
      </c>
      <c r="AJ14" s="2" cm="1">
        <f t="array" aca="1" ref="AJ14" ca="1">OFFSET(INDIRECT("Sheet"&amp;H$5&amp;"!f1"),H14-1,)</f>
        <v>4.8527170000056599E-3</v>
      </c>
      <c r="AK14" s="2" t="e" cm="1">
        <f t="array" aca="1" ref="AK14" ca="1">OFFSET(INDIRECT("Sheet"&amp;I$5&amp;"!f1"),I14-1,)</f>
        <v>#N/A</v>
      </c>
      <c r="AL14" s="2" t="e" cm="1">
        <f t="array" aca="1" ref="AL14" ca="1">OFFSET(INDIRECT("Sheet"&amp;J$5&amp;"!f1"),J14-1,)</f>
        <v>#N/A</v>
      </c>
      <c r="AM14" s="2" t="e" cm="1">
        <f t="array" aca="1" ref="AM14" ca="1">OFFSET(INDIRECT("Sheet"&amp;K$5&amp;"!f1"),K14-1,)</f>
        <v>#N/A</v>
      </c>
      <c r="AN14" s="2" cm="1">
        <f t="array" aca="1" ref="AN14" ca="1">OFFSET(INDIRECT("Sheet"&amp;L$5&amp;"!f1"),L14-1,)</f>
        <v>4.9804550000089797E-3</v>
      </c>
      <c r="AO14" s="2" cm="1">
        <f t="array" aca="1" ref="AO14" ca="1">OFFSET(INDIRECT("Sheet"&amp;M$5&amp;"!f1"),M14-1,)</f>
        <v>5.2878489950671697E-3</v>
      </c>
      <c r="AP14" s="2" cm="1">
        <f t="array" aca="1" ref="AP14" ca="1">OFFSET(INDIRECT("Sheet"&amp;N$5&amp;"!f1"),N14-1,)</f>
        <v>6.3444380066357501E-3</v>
      </c>
      <c r="AQ14" s="2" cm="1">
        <f t="array" aca="1" ref="AQ14" ca="1">OFFSET(INDIRECT("Sheet"&amp;O$5&amp;"!f1"),O14-1,)</f>
        <v>1.09477341175079E-3</v>
      </c>
      <c r="AR14" s="2" cm="1">
        <f t="array" aca="1" ref="AR14" ca="1">OFFSET(INDIRECT("Sheet"&amp;P$5&amp;"!f1"),P14-1,)</f>
        <v>1.2819580006180301E-3</v>
      </c>
    </row>
    <row r="15" spans="1:44" x14ac:dyDescent="0.2">
      <c r="A15">
        <v>5</v>
      </c>
      <c r="B15" t="s">
        <v>40</v>
      </c>
      <c r="C15">
        <v>3</v>
      </c>
      <c r="D15">
        <f t="shared" ca="1" si="3"/>
        <v>23</v>
      </c>
      <c r="E15">
        <f t="shared" ca="1" si="3"/>
        <v>23</v>
      </c>
      <c r="F15">
        <f t="shared" ca="1" si="3"/>
        <v>23</v>
      </c>
      <c r="G15">
        <f t="shared" ca="1" si="3"/>
        <v>23</v>
      </c>
      <c r="H15">
        <f t="shared" ca="1" si="3"/>
        <v>23</v>
      </c>
      <c r="I15" t="e">
        <f t="shared" ca="1" si="2"/>
        <v>#N/A</v>
      </c>
      <c r="J15" t="e">
        <f t="shared" ca="1" si="3"/>
        <v>#N/A</v>
      </c>
      <c r="K15" t="e">
        <f t="shared" ca="1" si="3"/>
        <v>#N/A</v>
      </c>
      <c r="L15">
        <f t="shared" ca="1" si="3"/>
        <v>23</v>
      </c>
      <c r="M15">
        <f t="shared" ca="1" si="2"/>
        <v>23</v>
      </c>
      <c r="N15">
        <f t="shared" ca="1" si="3"/>
        <v>23</v>
      </c>
      <c r="O15">
        <f t="shared" ca="1" si="3"/>
        <v>23</v>
      </c>
      <c r="P15">
        <f t="shared" ca="1" si="2"/>
        <v>23</v>
      </c>
      <c r="R15" cm="1">
        <f t="array" aca="1" ref="R15" ca="1">OFFSET(INDIRECT("Sheet"&amp;D$5&amp;"!d1"),D15-1,)</f>
        <v>3</v>
      </c>
      <c r="S15" cm="1">
        <f t="array" aca="1" ref="S15" ca="1">OFFSET(INDIRECT("Sheet"&amp;E$5&amp;"!d1"),E15-1,)</f>
        <v>3</v>
      </c>
      <c r="T15" cm="1">
        <f t="array" aca="1" ref="T15" ca="1">OFFSET(INDIRECT("Sheet"&amp;F$5&amp;"!d1"),F15-1,)</f>
        <v>3</v>
      </c>
      <c r="U15" cm="1">
        <f t="array" aca="1" ref="U15" ca="1">OFFSET(INDIRECT("Sheet"&amp;G$5&amp;"!d1"),G15-1,)</f>
        <v>7</v>
      </c>
      <c r="V15" cm="1">
        <f t="array" aca="1" ref="V15" ca="1">OFFSET(INDIRECT("Sheet"&amp;H$5&amp;"!d1"),H15-1,)</f>
        <v>3</v>
      </c>
      <c r="W15" t="e" cm="1">
        <f t="array" aca="1" ref="W15" ca="1">OFFSET(INDIRECT("Sheet"&amp;I$5&amp;"!d1"),I15-1,)</f>
        <v>#N/A</v>
      </c>
      <c r="X15" t="e" cm="1">
        <f t="array" aca="1" ref="X15" ca="1">OFFSET(INDIRECT("Sheet"&amp;J$5&amp;"!d1"),J15-1,)</f>
        <v>#N/A</v>
      </c>
      <c r="Y15" t="e" cm="1">
        <f t="array" aca="1" ref="Y15" ca="1">OFFSET(INDIRECT("Sheet"&amp;K$5&amp;"!d1"),K15-1,)</f>
        <v>#N/A</v>
      </c>
      <c r="Z15" cm="1">
        <f t="array" aca="1" ref="Z15" ca="1">OFFSET(INDIRECT("Sheet"&amp;L$5&amp;"!d1"),L15-1,)</f>
        <v>3</v>
      </c>
      <c r="AA15" cm="1">
        <f t="array" aca="1" ref="AA15" ca="1">OFFSET(INDIRECT("Sheet"&amp;M$5&amp;"!d1"),M15-1,)</f>
        <v>3</v>
      </c>
      <c r="AB15" cm="1">
        <f t="array" aca="1" ref="AB15" ca="1">OFFSET(INDIRECT("Sheet"&amp;N$5&amp;"!d1"),N15-1,)</f>
        <v>3</v>
      </c>
      <c r="AC15" cm="1">
        <f t="array" aca="1" ref="AC15" ca="1">OFFSET(INDIRECT("Sheet"&amp;O$5&amp;"!d1"),O15-1,)</f>
        <v>7</v>
      </c>
      <c r="AD15" cm="1">
        <f t="array" aca="1" ref="AD15" ca="1">OFFSET(INDIRECT("Sheet"&amp;P$5&amp;"!d1"),P15-1,)</f>
        <v>3</v>
      </c>
      <c r="AF15" s="2" cm="1">
        <f t="array" aca="1" ref="AF15" ca="1">OFFSET(INDIRECT("Sheet"&amp;D$5&amp;"!f1"),D15-1,)</f>
        <v>4.9422980000031203E-3</v>
      </c>
      <c r="AG15" s="2" cm="1">
        <f t="array" aca="1" ref="AG15" ca="1">OFFSET(INDIRECT("Sheet"&amp;E$5&amp;"!f1"),E15-1,)</f>
        <v>4.9663570098346099E-3</v>
      </c>
      <c r="AH15" s="2" cm="1">
        <f t="array" aca="1" ref="AH15" ca="1">OFFSET(INDIRECT("Sheet"&amp;F$5&amp;"!f1"),F15-1,)</f>
        <v>6.3140029960777602E-3</v>
      </c>
      <c r="AI15" s="2" cm="1">
        <f t="array" aca="1" ref="AI15" ca="1">OFFSET(INDIRECT("Sheet"&amp;G$5&amp;"!f1"),G15-1,)</f>
        <v>9.2547386884689299E-4</v>
      </c>
      <c r="AJ15" s="2" cm="1">
        <f t="array" aca="1" ref="AJ15" ca="1">OFFSET(INDIRECT("Sheet"&amp;H$5&amp;"!f1"),H15-1,)</f>
        <v>4.90186099997913E-3</v>
      </c>
      <c r="AK15" s="2" t="e" cm="1">
        <f t="array" aca="1" ref="AK15" ca="1">OFFSET(INDIRECT("Sheet"&amp;I$5&amp;"!f1"),I15-1,)</f>
        <v>#N/A</v>
      </c>
      <c r="AL15" s="2" t="e" cm="1">
        <f t="array" aca="1" ref="AL15" ca="1">OFFSET(INDIRECT("Sheet"&amp;J$5&amp;"!f1"),J15-1,)</f>
        <v>#N/A</v>
      </c>
      <c r="AM15" s="2" t="e" cm="1">
        <f t="array" aca="1" ref="AM15" ca="1">OFFSET(INDIRECT("Sheet"&amp;K$5&amp;"!f1"),K15-1,)</f>
        <v>#N/A</v>
      </c>
      <c r="AN15" s="2" cm="1">
        <f t="array" aca="1" ref="AN15" ca="1">OFFSET(INDIRECT("Sheet"&amp;L$5&amp;"!f1"),L15-1,)</f>
        <v>5.0465959999996804E-3</v>
      </c>
      <c r="AO15" s="2" cm="1">
        <f t="array" aca="1" ref="AO15" ca="1">OFFSET(INDIRECT("Sheet"&amp;M$5&amp;"!f1"),M15-1,)</f>
        <v>4.9220410000998501E-3</v>
      </c>
      <c r="AP15" s="2" cm="1">
        <f t="array" aca="1" ref="AP15" ca="1">OFFSET(INDIRECT("Sheet"&amp;N$5&amp;"!f1"),N15-1,)</f>
        <v>6.2606040009995896E-3</v>
      </c>
      <c r="AQ15" s="2" cm="1">
        <f t="array" aca="1" ref="AQ15" ca="1">OFFSET(INDIRECT("Sheet"&amp;O$5&amp;"!f1"),O15-1,)</f>
        <v>2.50927358865737E-3</v>
      </c>
      <c r="AR15" s="2" cm="1">
        <f t="array" aca="1" ref="AR15" ca="1">OFFSET(INDIRECT("Sheet"&amp;P$5&amp;"!f1"),P15-1,)</f>
        <v>1.0659170002327301E-3</v>
      </c>
    </row>
    <row r="16" spans="1:44" x14ac:dyDescent="0.2">
      <c r="A16">
        <v>6</v>
      </c>
      <c r="B16" t="s">
        <v>44</v>
      </c>
      <c r="C16">
        <v>4</v>
      </c>
      <c r="D16">
        <f t="shared" ca="1" si="3"/>
        <v>24</v>
      </c>
      <c r="E16">
        <f t="shared" ca="1" si="3"/>
        <v>24</v>
      </c>
      <c r="F16">
        <f t="shared" ca="1" si="3"/>
        <v>24</v>
      </c>
      <c r="G16">
        <f t="shared" ca="1" si="3"/>
        <v>24</v>
      </c>
      <c r="H16">
        <f t="shared" ca="1" si="3"/>
        <v>24</v>
      </c>
      <c r="I16" t="e">
        <f t="shared" ca="1" si="2"/>
        <v>#N/A</v>
      </c>
      <c r="J16" t="e">
        <f t="shared" ca="1" si="3"/>
        <v>#N/A</v>
      </c>
      <c r="K16" t="e">
        <f t="shared" ca="1" si="3"/>
        <v>#N/A</v>
      </c>
      <c r="L16">
        <f t="shared" ca="1" si="3"/>
        <v>24</v>
      </c>
      <c r="M16">
        <f t="shared" ca="1" si="2"/>
        <v>24</v>
      </c>
      <c r="N16">
        <f t="shared" ca="1" si="3"/>
        <v>24</v>
      </c>
      <c r="O16">
        <f t="shared" ca="1" si="3"/>
        <v>24</v>
      </c>
      <c r="P16">
        <f t="shared" ca="1" si="2"/>
        <v>24</v>
      </c>
      <c r="R16" cm="1">
        <f t="array" aca="1" ref="R16" ca="1">OFFSET(INDIRECT("Sheet"&amp;D$5&amp;"!d1"),D16-1,)</f>
        <v>5</v>
      </c>
      <c r="S16" cm="1">
        <f t="array" aca="1" ref="S16" ca="1">OFFSET(INDIRECT("Sheet"&amp;E$5&amp;"!d1"),E16-1,)</f>
        <v>5</v>
      </c>
      <c r="T16" cm="1">
        <f t="array" aca="1" ref="T16" ca="1">OFFSET(INDIRECT("Sheet"&amp;F$5&amp;"!d1"),F16-1,)</f>
        <v>5</v>
      </c>
      <c r="U16" cm="1">
        <f t="array" aca="1" ref="U16" ca="1">OFFSET(INDIRECT("Sheet"&amp;G$5&amp;"!d1"),G16-1,)</f>
        <v>11</v>
      </c>
      <c r="V16" cm="1">
        <f t="array" aca="1" ref="V16" ca="1">OFFSET(INDIRECT("Sheet"&amp;H$5&amp;"!d1"),H16-1,)</f>
        <v>5</v>
      </c>
      <c r="W16" t="e" cm="1">
        <f t="array" aca="1" ref="W16" ca="1">OFFSET(INDIRECT("Sheet"&amp;I$5&amp;"!d1"),I16-1,)</f>
        <v>#N/A</v>
      </c>
      <c r="X16" t="e" cm="1">
        <f t="array" aca="1" ref="X16" ca="1">OFFSET(INDIRECT("Sheet"&amp;J$5&amp;"!d1"),J16-1,)</f>
        <v>#N/A</v>
      </c>
      <c r="Y16" t="e" cm="1">
        <f t="array" aca="1" ref="Y16" ca="1">OFFSET(INDIRECT("Sheet"&amp;K$5&amp;"!d1"),K16-1,)</f>
        <v>#N/A</v>
      </c>
      <c r="Z16" cm="1">
        <f t="array" aca="1" ref="Z16" ca="1">OFFSET(INDIRECT("Sheet"&amp;L$5&amp;"!d1"),L16-1,)</f>
        <v>5</v>
      </c>
      <c r="AA16" cm="1">
        <f t="array" aca="1" ref="AA16" ca="1">OFFSET(INDIRECT("Sheet"&amp;M$5&amp;"!d1"),M16-1,)</f>
        <v>5</v>
      </c>
      <c r="AB16" cm="1">
        <f t="array" aca="1" ref="AB16" ca="1">OFFSET(INDIRECT("Sheet"&amp;N$5&amp;"!d1"),N16-1,)</f>
        <v>5</v>
      </c>
      <c r="AC16" cm="1">
        <f t="array" aca="1" ref="AC16" ca="1">OFFSET(INDIRECT("Sheet"&amp;O$5&amp;"!d1"),O16-1,)</f>
        <v>11</v>
      </c>
      <c r="AD16" cm="1">
        <f t="array" aca="1" ref="AD16" ca="1">OFFSET(INDIRECT("Sheet"&amp;P$5&amp;"!d1"),P16-1,)</f>
        <v>5</v>
      </c>
      <c r="AF16" s="2" cm="1">
        <f t="array" aca="1" ref="AF16" ca="1">OFFSET(INDIRECT("Sheet"&amp;D$5&amp;"!f1"),D16-1,)</f>
        <v>0.20923710900001399</v>
      </c>
      <c r="AG16" s="2" cm="1">
        <f t="array" aca="1" ref="AG16" ca="1">OFFSET(INDIRECT("Sheet"&amp;E$5&amp;"!f1"),E16-1,)</f>
        <v>0.22933947500132401</v>
      </c>
      <c r="AH16" s="2" cm="1">
        <f t="array" aca="1" ref="AH16" ca="1">OFFSET(INDIRECT("Sheet"&amp;F$5&amp;"!f1"),F16-1,)</f>
        <v>1.9167532998835599E-2</v>
      </c>
      <c r="AI16" s="2" cm="1">
        <f t="array" aca="1" ref="AI16" ca="1">OFFSET(INDIRECT("Sheet"&amp;G$5&amp;"!f1"),G16-1,)</f>
        <v>1.1087954044342E-3</v>
      </c>
      <c r="AJ16" s="2" cm="1">
        <f t="array" aca="1" ref="AJ16" ca="1">OFFSET(INDIRECT("Sheet"&amp;H$5&amp;"!f1"),H16-1,)</f>
        <v>0.20792830299998799</v>
      </c>
      <c r="AK16" s="2" t="e" cm="1">
        <f t="array" aca="1" ref="AK16" ca="1">OFFSET(INDIRECT("Sheet"&amp;I$5&amp;"!f1"),I16-1,)</f>
        <v>#N/A</v>
      </c>
      <c r="AL16" s="2" t="e" cm="1">
        <f t="array" aca="1" ref="AL16" ca="1">OFFSET(INDIRECT("Sheet"&amp;J$5&amp;"!f1"),J16-1,)</f>
        <v>#N/A</v>
      </c>
      <c r="AM16" s="2" t="e" cm="1">
        <f t="array" aca="1" ref="AM16" ca="1">OFFSET(INDIRECT("Sheet"&amp;K$5&amp;"!f1"),K16-1,)</f>
        <v>#N/A</v>
      </c>
      <c r="AN16" s="2" cm="1">
        <f t="array" aca="1" ref="AN16" ca="1">OFFSET(INDIRECT("Sheet"&amp;L$5&amp;"!f1"),L16-1,)</f>
        <v>0.21504432999998299</v>
      </c>
      <c r="AO16" s="2" cm="1">
        <f t="array" aca="1" ref="AO16" ca="1">OFFSET(INDIRECT("Sheet"&amp;M$5&amp;"!f1"),M16-1,)</f>
        <v>0.224963374988874</v>
      </c>
      <c r="AP16" s="2" cm="1">
        <f t="array" aca="1" ref="AP16" ca="1">OFFSET(INDIRECT("Sheet"&amp;N$5&amp;"!f1"),N16-1,)</f>
        <v>1.8815054994774899E-2</v>
      </c>
      <c r="AQ16" s="2" cm="1">
        <f t="array" aca="1" ref="AQ16" ca="1">OFFSET(INDIRECT("Sheet"&amp;O$5&amp;"!f1"),O16-1,)</f>
        <v>1.09263509511947E-3</v>
      </c>
      <c r="AR16" s="2" cm="1">
        <f t="array" aca="1" ref="AR16" ca="1">OFFSET(INDIRECT("Sheet"&amp;P$5&amp;"!f1"),P16-1,)</f>
        <v>2.8326659994490902E-3</v>
      </c>
    </row>
    <row r="17" spans="1:44" x14ac:dyDescent="0.2">
      <c r="A17">
        <v>7</v>
      </c>
      <c r="B17" t="s">
        <v>18</v>
      </c>
      <c r="C17">
        <v>4</v>
      </c>
      <c r="D17">
        <f t="shared" ca="1" si="3"/>
        <v>25</v>
      </c>
      <c r="E17">
        <f t="shared" ca="1" si="3"/>
        <v>25</v>
      </c>
      <c r="F17">
        <f t="shared" ca="1" si="3"/>
        <v>25</v>
      </c>
      <c r="G17">
        <f t="shared" ca="1" si="3"/>
        <v>25</v>
      </c>
      <c r="H17">
        <f t="shared" ca="1" si="3"/>
        <v>25</v>
      </c>
      <c r="I17" t="e">
        <f t="shared" ca="1" si="2"/>
        <v>#N/A</v>
      </c>
      <c r="J17" t="e">
        <f t="shared" ca="1" si="3"/>
        <v>#N/A</v>
      </c>
      <c r="K17" t="e">
        <f t="shared" ca="1" si="3"/>
        <v>#N/A</v>
      </c>
      <c r="L17">
        <f t="shared" ca="1" si="3"/>
        <v>25</v>
      </c>
      <c r="M17">
        <f t="shared" ca="1" si="2"/>
        <v>25</v>
      </c>
      <c r="N17">
        <f t="shared" ca="1" si="3"/>
        <v>25</v>
      </c>
      <c r="O17">
        <f t="shared" ca="1" si="3"/>
        <v>25</v>
      </c>
      <c r="P17">
        <f t="shared" ca="1" si="2"/>
        <v>25</v>
      </c>
      <c r="R17" cm="1">
        <f t="array" aca="1" ref="R17" ca="1">OFFSET(INDIRECT("Sheet"&amp;D$5&amp;"!d1"),D17-1,)</f>
        <v>5</v>
      </c>
      <c r="S17" cm="1">
        <f t="array" aca="1" ref="S17" ca="1">OFFSET(INDIRECT("Sheet"&amp;E$5&amp;"!d1"),E17-1,)</f>
        <v>5</v>
      </c>
      <c r="T17" cm="1">
        <f t="array" aca="1" ref="T17" ca="1">OFFSET(INDIRECT("Sheet"&amp;F$5&amp;"!d1"),F17-1,)</f>
        <v>5</v>
      </c>
      <c r="U17" cm="1">
        <f t="array" aca="1" ref="U17" ca="1">OFFSET(INDIRECT("Sheet"&amp;G$5&amp;"!d1"),G17-1,)</f>
        <v>11</v>
      </c>
      <c r="V17" cm="1">
        <f t="array" aca="1" ref="V17" ca="1">OFFSET(INDIRECT("Sheet"&amp;H$5&amp;"!d1"),H17-1,)</f>
        <v>5</v>
      </c>
      <c r="W17" t="e" cm="1">
        <f t="array" aca="1" ref="W17" ca="1">OFFSET(INDIRECT("Sheet"&amp;I$5&amp;"!d1"),I17-1,)</f>
        <v>#N/A</v>
      </c>
      <c r="X17" t="e" cm="1">
        <f t="array" aca="1" ref="X17" ca="1">OFFSET(INDIRECT("Sheet"&amp;J$5&amp;"!d1"),J17-1,)</f>
        <v>#N/A</v>
      </c>
      <c r="Y17" t="e" cm="1">
        <f t="array" aca="1" ref="Y17" ca="1">OFFSET(INDIRECT("Sheet"&amp;K$5&amp;"!d1"),K17-1,)</f>
        <v>#N/A</v>
      </c>
      <c r="Z17" cm="1">
        <f t="array" aca="1" ref="Z17" ca="1">OFFSET(INDIRECT("Sheet"&amp;L$5&amp;"!d1"),L17-1,)</f>
        <v>5</v>
      </c>
      <c r="AA17" cm="1">
        <f t="array" aca="1" ref="AA17" ca="1">OFFSET(INDIRECT("Sheet"&amp;M$5&amp;"!d1"),M17-1,)</f>
        <v>5</v>
      </c>
      <c r="AB17" cm="1">
        <f t="array" aca="1" ref="AB17" ca="1">OFFSET(INDIRECT("Sheet"&amp;N$5&amp;"!d1"),N17-1,)</f>
        <v>5</v>
      </c>
      <c r="AC17" cm="1">
        <f t="array" aca="1" ref="AC17" ca="1">OFFSET(INDIRECT("Sheet"&amp;O$5&amp;"!d1"),O17-1,)</f>
        <v>11</v>
      </c>
      <c r="AD17" cm="1">
        <f t="array" aca="1" ref="AD17" ca="1">OFFSET(INDIRECT("Sheet"&amp;P$5&amp;"!d1"),P17-1,)</f>
        <v>5</v>
      </c>
      <c r="AF17" s="2" cm="1">
        <f t="array" aca="1" ref="AF17" ca="1">OFFSET(INDIRECT("Sheet"&amp;D$5&amp;"!f1"),D17-1,)</f>
        <v>0.20583971799999201</v>
      </c>
      <c r="AG17" s="2" cm="1">
        <f t="array" aca="1" ref="AG17" ca="1">OFFSET(INDIRECT("Sheet"&amp;E$5&amp;"!f1"),E17-1,)</f>
        <v>0.21881667499837901</v>
      </c>
      <c r="AH17" s="2" cm="1">
        <f t="array" aca="1" ref="AH17" ca="1">OFFSET(INDIRECT("Sheet"&amp;F$5&amp;"!f1"),F17-1,)</f>
        <v>1.6144929002621201E-2</v>
      </c>
      <c r="AI17" s="2" cm="1">
        <f t="array" aca="1" ref="AI17" ca="1">OFFSET(INDIRECT("Sheet"&amp;G$5&amp;"!f1"),G17-1,)</f>
        <v>1.19052827358245E-3</v>
      </c>
      <c r="AJ17" s="2" cm="1">
        <f t="array" aca="1" ref="AJ17" ca="1">OFFSET(INDIRECT("Sheet"&amp;H$5&amp;"!f1"),H17-1,)</f>
        <v>0.20419290600000201</v>
      </c>
      <c r="AK17" s="2" t="e" cm="1">
        <f t="array" aca="1" ref="AK17" ca="1">OFFSET(INDIRECT("Sheet"&amp;I$5&amp;"!f1"),I17-1,)</f>
        <v>#N/A</v>
      </c>
      <c r="AL17" s="2" t="e" cm="1">
        <f t="array" aca="1" ref="AL17" ca="1">OFFSET(INDIRECT("Sheet"&amp;J$5&amp;"!f1"),J17-1,)</f>
        <v>#N/A</v>
      </c>
      <c r="AM17" s="2" t="e" cm="1">
        <f t="array" aca="1" ref="AM17" ca="1">OFFSET(INDIRECT("Sheet"&amp;K$5&amp;"!f1"),K17-1,)</f>
        <v>#N/A</v>
      </c>
      <c r="AN17" s="2" cm="1">
        <f t="array" aca="1" ref="AN17" ca="1">OFFSET(INDIRECT("Sheet"&amp;L$5&amp;"!f1"),L17-1,)</f>
        <v>0.21093799999999799</v>
      </c>
      <c r="AO17" s="2" cm="1">
        <f t="array" aca="1" ref="AO17" ca="1">OFFSET(INDIRECT("Sheet"&amp;M$5&amp;"!f1"),M17-1,)</f>
        <v>0.21538706601131699</v>
      </c>
      <c r="AP17" s="2" cm="1">
        <f t="array" aca="1" ref="AP17" ca="1">OFFSET(INDIRECT("Sheet"&amp;N$5&amp;"!f1"),N17-1,)</f>
        <v>1.5849449991946998E-2</v>
      </c>
      <c r="AQ17" s="2" cm="1">
        <f t="array" aca="1" ref="AQ17" ca="1">OFFSET(INDIRECT("Sheet"&amp;O$5&amp;"!f1"),O17-1,)</f>
        <v>1.1446923017501801E-3</v>
      </c>
      <c r="AR17" s="2" cm="1">
        <f t="array" aca="1" ref="AR17" ca="1">OFFSET(INDIRECT("Sheet"&amp;P$5&amp;"!f1"),P17-1,)</f>
        <v>1.15045900020049E-3</v>
      </c>
    </row>
    <row r="18" spans="1:44" x14ac:dyDescent="0.2">
      <c r="A18">
        <v>8</v>
      </c>
      <c r="B18" t="s">
        <v>22</v>
      </c>
      <c r="C18">
        <v>4</v>
      </c>
      <c r="D18">
        <f t="shared" ca="1" si="3"/>
        <v>26</v>
      </c>
      <c r="E18">
        <f t="shared" ca="1" si="3"/>
        <v>26</v>
      </c>
      <c r="F18">
        <f t="shared" ca="1" si="3"/>
        <v>26</v>
      </c>
      <c r="G18">
        <f t="shared" ca="1" si="3"/>
        <v>26</v>
      </c>
      <c r="H18">
        <f t="shared" ca="1" si="3"/>
        <v>26</v>
      </c>
      <c r="I18" t="e">
        <f t="shared" ca="1" si="2"/>
        <v>#N/A</v>
      </c>
      <c r="J18" t="e">
        <f t="shared" ca="1" si="3"/>
        <v>#N/A</v>
      </c>
      <c r="K18" t="e">
        <f t="shared" ca="1" si="3"/>
        <v>#N/A</v>
      </c>
      <c r="L18">
        <f t="shared" ca="1" si="3"/>
        <v>26</v>
      </c>
      <c r="M18">
        <f t="shared" ca="1" si="2"/>
        <v>26</v>
      </c>
      <c r="N18">
        <f t="shared" ca="1" si="3"/>
        <v>26</v>
      </c>
      <c r="O18">
        <f t="shared" ca="1" si="3"/>
        <v>26</v>
      </c>
      <c r="P18">
        <f t="shared" ca="1" si="2"/>
        <v>26</v>
      </c>
      <c r="R18" cm="1">
        <f t="array" aca="1" ref="R18" ca="1">OFFSET(INDIRECT("Sheet"&amp;D$5&amp;"!d1"),D18-1,)</f>
        <v>4</v>
      </c>
      <c r="S18" cm="1">
        <f t="array" aca="1" ref="S18" ca="1">OFFSET(INDIRECT("Sheet"&amp;E$5&amp;"!d1"),E18-1,)</f>
        <v>4</v>
      </c>
      <c r="T18" cm="1">
        <f t="array" aca="1" ref="T18" ca="1">OFFSET(INDIRECT("Sheet"&amp;F$5&amp;"!d1"),F18-1,)</f>
        <v>4</v>
      </c>
      <c r="U18" cm="1">
        <f t="array" aca="1" ref="U18" ca="1">OFFSET(INDIRECT("Sheet"&amp;G$5&amp;"!d1"),G18-1,)</f>
        <v>7</v>
      </c>
      <c r="V18" cm="1">
        <f t="array" aca="1" ref="V18" ca="1">OFFSET(INDIRECT("Sheet"&amp;H$5&amp;"!d1"),H18-1,)</f>
        <v>4</v>
      </c>
      <c r="W18" t="e" cm="1">
        <f t="array" aca="1" ref="W18" ca="1">OFFSET(INDIRECT("Sheet"&amp;I$5&amp;"!d1"),I18-1,)</f>
        <v>#N/A</v>
      </c>
      <c r="X18" t="e" cm="1">
        <f t="array" aca="1" ref="X18" ca="1">OFFSET(INDIRECT("Sheet"&amp;J$5&amp;"!d1"),J18-1,)</f>
        <v>#N/A</v>
      </c>
      <c r="Y18" t="e" cm="1">
        <f t="array" aca="1" ref="Y18" ca="1">OFFSET(INDIRECT("Sheet"&amp;K$5&amp;"!d1"),K18-1,)</f>
        <v>#N/A</v>
      </c>
      <c r="Z18" cm="1">
        <f t="array" aca="1" ref="Z18" ca="1">OFFSET(INDIRECT("Sheet"&amp;L$5&amp;"!d1"),L18-1,)</f>
        <v>4</v>
      </c>
      <c r="AA18" cm="1">
        <f t="array" aca="1" ref="AA18" ca="1">OFFSET(INDIRECT("Sheet"&amp;M$5&amp;"!d1"),M18-1,)</f>
        <v>4</v>
      </c>
      <c r="AB18" cm="1">
        <f t="array" aca="1" ref="AB18" ca="1">OFFSET(INDIRECT("Sheet"&amp;N$5&amp;"!d1"),N18-1,)</f>
        <v>4</v>
      </c>
      <c r="AC18" cm="1">
        <f t="array" aca="1" ref="AC18" ca="1">OFFSET(INDIRECT("Sheet"&amp;O$5&amp;"!d1"),O18-1,)</f>
        <v>7</v>
      </c>
      <c r="AD18" cm="1">
        <f t="array" aca="1" ref="AD18" ca="1">OFFSET(INDIRECT("Sheet"&amp;P$5&amp;"!d1"),P18-1,)</f>
        <v>4</v>
      </c>
      <c r="AF18" s="2" cm="1">
        <f t="array" aca="1" ref="AF18" ca="1">OFFSET(INDIRECT("Sheet"&amp;D$5&amp;"!f1"),D18-1,)</f>
        <v>8.7001260000079093E-3</v>
      </c>
      <c r="AG18" s="2" cm="1">
        <f t="array" aca="1" ref="AG18" ca="1">OFFSET(INDIRECT("Sheet"&amp;E$5&amp;"!f1"),E18-1,)</f>
        <v>9.0196470118826203E-3</v>
      </c>
      <c r="AH18" s="2" cm="1">
        <f t="array" aca="1" ref="AH18" ca="1">OFFSET(INDIRECT("Sheet"&amp;F$5&amp;"!f1"),F18-1,)</f>
        <v>1.01809269981458E-2</v>
      </c>
      <c r="AI18" s="2" cm="1">
        <f t="array" aca="1" ref="AI18" ca="1">OFFSET(INDIRECT("Sheet"&amp;G$5&amp;"!f1"),G18-1,)</f>
        <v>1.2707710266113201E-3</v>
      </c>
      <c r="AJ18" s="2" cm="1">
        <f t="array" aca="1" ref="AJ18" ca="1">OFFSET(INDIRECT("Sheet"&amp;H$5&amp;"!f1"),H18-1,)</f>
        <v>8.6606289999906494E-3</v>
      </c>
      <c r="AK18" s="2" t="e" cm="1">
        <f t="array" aca="1" ref="AK18" ca="1">OFFSET(INDIRECT("Sheet"&amp;I$5&amp;"!f1"),I18-1,)</f>
        <v>#N/A</v>
      </c>
      <c r="AL18" s="2" t="e" cm="1">
        <f t="array" aca="1" ref="AL18" ca="1">OFFSET(INDIRECT("Sheet"&amp;J$5&amp;"!f1"),J18-1,)</f>
        <v>#N/A</v>
      </c>
      <c r="AM18" s="2" t="e" cm="1">
        <f t="array" aca="1" ref="AM18" ca="1">OFFSET(INDIRECT("Sheet"&amp;K$5&amp;"!f1"),K18-1,)</f>
        <v>#N/A</v>
      </c>
      <c r="AN18" s="2" cm="1">
        <f t="array" aca="1" ref="AN18" ca="1">OFFSET(INDIRECT("Sheet"&amp;L$5&amp;"!f1"),L18-1,)</f>
        <v>8.9393570000026994E-3</v>
      </c>
      <c r="AO18" s="2" cm="1">
        <f t="array" aca="1" ref="AO18" ca="1">OFFSET(INDIRECT("Sheet"&amp;M$5&amp;"!f1"),M18-1,)</f>
        <v>8.87083100678864E-3</v>
      </c>
      <c r="AP18" s="2" cm="1">
        <f t="array" aca="1" ref="AP18" ca="1">OFFSET(INDIRECT("Sheet"&amp;N$5&amp;"!f1"),N18-1,)</f>
        <v>1.00567329936893E-2</v>
      </c>
      <c r="AQ18" s="2" cm="1">
        <f t="array" aca="1" ref="AQ18" ca="1">OFFSET(INDIRECT("Sheet"&amp;O$5&amp;"!f1"),O18-1,)</f>
        <v>1.2692734599113399E-3</v>
      </c>
      <c r="AR18" s="2" cm="1">
        <f t="array" aca="1" ref="AR18" ca="1">OFFSET(INDIRECT("Sheet"&amp;P$5&amp;"!f1"),P18-1,)</f>
        <v>1.1724590003723201E-3</v>
      </c>
    </row>
    <row r="19" spans="1:44" x14ac:dyDescent="0.2">
      <c r="A19">
        <v>9</v>
      </c>
      <c r="B19" t="s">
        <v>36</v>
      </c>
      <c r="C19">
        <v>4</v>
      </c>
      <c r="D19">
        <f t="shared" ca="1" si="3"/>
        <v>27</v>
      </c>
      <c r="E19">
        <f t="shared" ca="1" si="3"/>
        <v>27</v>
      </c>
      <c r="F19">
        <f t="shared" ca="1" si="3"/>
        <v>27</v>
      </c>
      <c r="G19">
        <f t="shared" ca="1" si="3"/>
        <v>27</v>
      </c>
      <c r="H19">
        <f t="shared" ca="1" si="3"/>
        <v>27</v>
      </c>
      <c r="I19" t="e">
        <f t="shared" ca="1" si="2"/>
        <v>#N/A</v>
      </c>
      <c r="J19" t="e">
        <f t="shared" ca="1" si="3"/>
        <v>#N/A</v>
      </c>
      <c r="K19" t="e">
        <f t="shared" ca="1" si="3"/>
        <v>#N/A</v>
      </c>
      <c r="L19">
        <f t="shared" ca="1" si="3"/>
        <v>27</v>
      </c>
      <c r="M19">
        <f t="shared" ca="1" si="2"/>
        <v>27</v>
      </c>
      <c r="N19">
        <f t="shared" ca="1" si="3"/>
        <v>27</v>
      </c>
      <c r="O19">
        <f t="shared" ca="1" si="3"/>
        <v>27</v>
      </c>
      <c r="P19">
        <f t="shared" ca="1" si="2"/>
        <v>27</v>
      </c>
      <c r="R19" cm="1">
        <f t="array" aca="1" ref="R19" ca="1">OFFSET(INDIRECT("Sheet"&amp;D$5&amp;"!d1"),D19-1,)</f>
        <v>5</v>
      </c>
      <c r="S19" cm="1">
        <f t="array" aca="1" ref="S19" ca="1">OFFSET(INDIRECT("Sheet"&amp;E$5&amp;"!d1"),E19-1,)</f>
        <v>5</v>
      </c>
      <c r="T19" cm="1">
        <f t="array" aca="1" ref="T19" ca="1">OFFSET(INDIRECT("Sheet"&amp;F$5&amp;"!d1"),F19-1,)</f>
        <v>6</v>
      </c>
      <c r="U19" cm="1">
        <f t="array" aca="1" ref="U19" ca="1">OFFSET(INDIRECT("Sheet"&amp;G$5&amp;"!d1"),G19-1,)</f>
        <v>13</v>
      </c>
      <c r="V19" cm="1">
        <f t="array" aca="1" ref="V19" ca="1">OFFSET(INDIRECT("Sheet"&amp;H$5&amp;"!d1"),H19-1,)</f>
        <v>5</v>
      </c>
      <c r="W19" t="e" cm="1">
        <f t="array" aca="1" ref="W19" ca="1">OFFSET(INDIRECT("Sheet"&amp;I$5&amp;"!d1"),I19-1,)</f>
        <v>#N/A</v>
      </c>
      <c r="X19" t="e" cm="1">
        <f t="array" aca="1" ref="X19" ca="1">OFFSET(INDIRECT("Sheet"&amp;J$5&amp;"!d1"),J19-1,)</f>
        <v>#N/A</v>
      </c>
      <c r="Y19" t="e" cm="1">
        <f t="array" aca="1" ref="Y19" ca="1">OFFSET(INDIRECT("Sheet"&amp;K$5&amp;"!d1"),K19-1,)</f>
        <v>#N/A</v>
      </c>
      <c r="Z19" cm="1">
        <f t="array" aca="1" ref="Z19" ca="1">OFFSET(INDIRECT("Sheet"&amp;L$5&amp;"!d1"),L19-1,)</f>
        <v>5</v>
      </c>
      <c r="AA19" cm="1">
        <f t="array" aca="1" ref="AA19" ca="1">OFFSET(INDIRECT("Sheet"&amp;M$5&amp;"!d1"),M19-1,)</f>
        <v>5</v>
      </c>
      <c r="AB19" cm="1">
        <f t="array" aca="1" ref="AB19" ca="1">OFFSET(INDIRECT("Sheet"&amp;N$5&amp;"!d1"),N19-1,)</f>
        <v>6</v>
      </c>
      <c r="AC19" cm="1">
        <f t="array" aca="1" ref="AC19" ca="1">OFFSET(INDIRECT("Sheet"&amp;O$5&amp;"!d1"),O19-1,)</f>
        <v>13</v>
      </c>
      <c r="AD19" cm="1">
        <f t="array" aca="1" ref="AD19" ca="1">OFFSET(INDIRECT("Sheet"&amp;P$5&amp;"!d1"),P19-1,)</f>
        <v>5</v>
      </c>
      <c r="AF19" s="2" cm="1">
        <f t="array" aca="1" ref="AF19" ca="1">OFFSET(INDIRECT("Sheet"&amp;D$5&amp;"!f1"),D19-1,)</f>
        <v>0.20000193800001301</v>
      </c>
      <c r="AG19" s="2" cm="1">
        <f t="array" aca="1" ref="AG19" ca="1">OFFSET(INDIRECT("Sheet"&amp;E$5&amp;"!f1"),E19-1,)</f>
        <v>0.21512024100229599</v>
      </c>
      <c r="AH19" s="2" cm="1">
        <f t="array" aca="1" ref="AH19" ca="1">OFFSET(INDIRECT("Sheet"&amp;F$5&amp;"!f1"),F19-1,)</f>
        <v>1.9910293005523199E-2</v>
      </c>
      <c r="AI19" s="2" cm="1">
        <f t="array" aca="1" ref="AI19" ca="1">OFFSET(INDIRECT("Sheet"&amp;G$5&amp;"!f1"),G19-1,)</f>
        <v>1.0872110724449099E-3</v>
      </c>
      <c r="AJ19" s="2" cm="1">
        <f t="array" aca="1" ref="AJ19" ca="1">OFFSET(INDIRECT("Sheet"&amp;H$5&amp;"!f1"),H19-1,)</f>
        <v>0.198582264000009</v>
      </c>
      <c r="AK19" s="2" t="e" cm="1">
        <f t="array" aca="1" ref="AK19" ca="1">OFFSET(INDIRECT("Sheet"&amp;I$5&amp;"!f1"),I19-1,)</f>
        <v>#N/A</v>
      </c>
      <c r="AL19" s="2" t="e" cm="1">
        <f t="array" aca="1" ref="AL19" ca="1">OFFSET(INDIRECT("Sheet"&amp;J$5&amp;"!f1"),J19-1,)</f>
        <v>#N/A</v>
      </c>
      <c r="AM19" s="2" t="e" cm="1">
        <f t="array" aca="1" ref="AM19" ca="1">OFFSET(INDIRECT("Sheet"&amp;K$5&amp;"!f1"),K19-1,)</f>
        <v>#N/A</v>
      </c>
      <c r="AN19" s="2" cm="1">
        <f t="array" aca="1" ref="AN19" ca="1">OFFSET(INDIRECT("Sheet"&amp;L$5&amp;"!f1"),L19-1,)</f>
        <v>0.20490005299998801</v>
      </c>
      <c r="AO19" s="2" cm="1">
        <f t="array" aca="1" ref="AO19" ca="1">OFFSET(INDIRECT("Sheet"&amp;M$5&amp;"!f1"),M19-1,)</f>
        <v>0.21193926499108701</v>
      </c>
      <c r="AP19" s="2" cm="1">
        <f t="array" aca="1" ref="AP19" ca="1">OFFSET(INDIRECT("Sheet"&amp;N$5&amp;"!f1"),N19-1,)</f>
        <v>1.9689716005814199E-2</v>
      </c>
      <c r="AQ19" s="2" cm="1">
        <f t="array" aca="1" ref="AQ19" ca="1">OFFSET(INDIRECT("Sheet"&amp;O$5&amp;"!f1"),O19-1,)</f>
        <v>1.0580942034721301E-3</v>
      </c>
      <c r="AR19" s="2" cm="1">
        <f t="array" aca="1" ref="AR19" ca="1">OFFSET(INDIRECT("Sheet"&amp;P$5&amp;"!f1"),P19-1,)</f>
        <v>1.12441699820919E-3</v>
      </c>
    </row>
    <row r="20" spans="1:44" x14ac:dyDescent="0.2">
      <c r="A20">
        <v>10</v>
      </c>
      <c r="B20" t="s">
        <v>30</v>
      </c>
      <c r="C20">
        <v>4</v>
      </c>
      <c r="D20">
        <f t="shared" ca="1" si="3"/>
        <v>28</v>
      </c>
      <c r="E20">
        <f t="shared" ca="1" si="3"/>
        <v>28</v>
      </c>
      <c r="F20">
        <f t="shared" ca="1" si="3"/>
        <v>28</v>
      </c>
      <c r="G20">
        <f t="shared" ca="1" si="3"/>
        <v>28</v>
      </c>
      <c r="H20">
        <f t="shared" ca="1" si="3"/>
        <v>28</v>
      </c>
      <c r="I20" t="e">
        <f t="shared" ca="1" si="2"/>
        <v>#N/A</v>
      </c>
      <c r="J20" t="e">
        <f t="shared" ca="1" si="3"/>
        <v>#N/A</v>
      </c>
      <c r="K20" t="e">
        <f t="shared" ca="1" si="3"/>
        <v>#N/A</v>
      </c>
      <c r="L20">
        <f t="shared" ca="1" si="3"/>
        <v>28</v>
      </c>
      <c r="M20">
        <f t="shared" ca="1" si="2"/>
        <v>28</v>
      </c>
      <c r="N20">
        <f t="shared" ca="1" si="3"/>
        <v>28</v>
      </c>
      <c r="O20">
        <f t="shared" ca="1" si="3"/>
        <v>28</v>
      </c>
      <c r="P20">
        <f t="shared" ca="1" si="2"/>
        <v>28</v>
      </c>
      <c r="R20" cm="1">
        <f t="array" aca="1" ref="R20" ca="1">OFFSET(INDIRECT("Sheet"&amp;D$5&amp;"!d1"),D20-1,)</f>
        <v>5</v>
      </c>
      <c r="S20" cm="1">
        <f t="array" aca="1" ref="S20" ca="1">OFFSET(INDIRECT("Sheet"&amp;E$5&amp;"!d1"),E20-1,)</f>
        <v>5</v>
      </c>
      <c r="T20" cm="1">
        <f t="array" aca="1" ref="T20" ca="1">OFFSET(INDIRECT("Sheet"&amp;F$5&amp;"!d1"),F20-1,)</f>
        <v>5</v>
      </c>
      <c r="U20" cm="1">
        <f t="array" aca="1" ref="U20" ca="1">OFFSET(INDIRECT("Sheet"&amp;G$5&amp;"!d1"),G20-1,)</f>
        <v>8</v>
      </c>
      <c r="V20" cm="1">
        <f t="array" aca="1" ref="V20" ca="1">OFFSET(INDIRECT("Sheet"&amp;H$5&amp;"!d1"),H20-1,)</f>
        <v>5</v>
      </c>
      <c r="W20" t="e" cm="1">
        <f t="array" aca="1" ref="W20" ca="1">OFFSET(INDIRECT("Sheet"&amp;I$5&amp;"!d1"),I20-1,)</f>
        <v>#N/A</v>
      </c>
      <c r="X20" t="e" cm="1">
        <f t="array" aca="1" ref="X20" ca="1">OFFSET(INDIRECT("Sheet"&amp;J$5&amp;"!d1"),J20-1,)</f>
        <v>#N/A</v>
      </c>
      <c r="Y20" t="e" cm="1">
        <f t="array" aca="1" ref="Y20" ca="1">OFFSET(INDIRECT("Sheet"&amp;K$5&amp;"!d1"),K20-1,)</f>
        <v>#N/A</v>
      </c>
      <c r="Z20" cm="1">
        <f t="array" aca="1" ref="Z20" ca="1">OFFSET(INDIRECT("Sheet"&amp;L$5&amp;"!d1"),L20-1,)</f>
        <v>5</v>
      </c>
      <c r="AA20" cm="1">
        <f t="array" aca="1" ref="AA20" ca="1">OFFSET(INDIRECT("Sheet"&amp;M$5&amp;"!d1"),M20-1,)</f>
        <v>5</v>
      </c>
      <c r="AB20" cm="1">
        <f t="array" aca="1" ref="AB20" ca="1">OFFSET(INDIRECT("Sheet"&amp;N$5&amp;"!d1"),N20-1,)</f>
        <v>5</v>
      </c>
      <c r="AC20" cm="1">
        <f t="array" aca="1" ref="AC20" ca="1">OFFSET(INDIRECT("Sheet"&amp;O$5&amp;"!d1"),O20-1,)</f>
        <v>8</v>
      </c>
      <c r="AD20" cm="1">
        <f t="array" aca="1" ref="AD20" ca="1">OFFSET(INDIRECT("Sheet"&amp;P$5&amp;"!d1"),P20-1,)</f>
        <v>5</v>
      </c>
      <c r="AF20" s="2" cm="1">
        <f t="array" aca="1" ref="AF20" ca="1">OFFSET(INDIRECT("Sheet"&amp;D$5&amp;"!f1"),D20-1,)</f>
        <v>0.218461461999993</v>
      </c>
      <c r="AG20" s="2" cm="1">
        <f t="array" aca="1" ref="AG20" ca="1">OFFSET(INDIRECT("Sheet"&amp;E$5&amp;"!f1"),E20-1,)</f>
        <v>0.23084292998828401</v>
      </c>
      <c r="AH20" s="2" cm="1">
        <f t="array" aca="1" ref="AH20" ca="1">OFFSET(INDIRECT("Sheet"&amp;F$5&amp;"!f1"),F20-1,)</f>
        <v>1.6706431997590698E-2</v>
      </c>
      <c r="AI20" s="2" cm="1">
        <f t="array" aca="1" ref="AI20" ca="1">OFFSET(INDIRECT("Sheet"&amp;G$5&amp;"!f1"),G20-1,)</f>
        <v>1.1371895670890799E-3</v>
      </c>
      <c r="AJ20" s="2" cm="1">
        <f t="array" aca="1" ref="AJ20" ca="1">OFFSET(INDIRECT("Sheet"&amp;H$5&amp;"!f1"),H20-1,)</f>
        <v>0.217343990000017</v>
      </c>
      <c r="AK20" s="2" t="e" cm="1">
        <f t="array" aca="1" ref="AK20" ca="1">OFFSET(INDIRECT("Sheet"&amp;I$5&amp;"!f1"),I20-1,)</f>
        <v>#N/A</v>
      </c>
      <c r="AL20" s="2" t="e" cm="1">
        <f t="array" aca="1" ref="AL20" ca="1">OFFSET(INDIRECT("Sheet"&amp;J$5&amp;"!f1"),J20-1,)</f>
        <v>#N/A</v>
      </c>
      <c r="AM20" s="2" t="e" cm="1">
        <f t="array" aca="1" ref="AM20" ca="1">OFFSET(INDIRECT("Sheet"&amp;K$5&amp;"!f1"),K20-1,)</f>
        <v>#N/A</v>
      </c>
      <c r="AN20" s="2" cm="1">
        <f t="array" aca="1" ref="AN20" ca="1">OFFSET(INDIRECT("Sheet"&amp;L$5&amp;"!f1"),L20-1,)</f>
        <v>0.22370224300001901</v>
      </c>
      <c r="AO20" s="2" cm="1">
        <f t="array" aca="1" ref="AO20" ca="1">OFFSET(INDIRECT("Sheet"&amp;M$5&amp;"!f1"),M20-1,)</f>
        <v>0.22593841700290701</v>
      </c>
      <c r="AP20" s="2" cm="1">
        <f t="array" aca="1" ref="AP20" ca="1">OFFSET(INDIRECT("Sheet"&amp;N$5&amp;"!f1"),N20-1,)</f>
        <v>1.65187490056268E-2</v>
      </c>
      <c r="AQ20" s="2" cm="1">
        <f t="array" aca="1" ref="AQ20" ca="1">OFFSET(INDIRECT("Sheet"&amp;O$5&amp;"!f1"),O20-1,)</f>
        <v>1.13124400377273E-3</v>
      </c>
      <c r="AR20" s="2" cm="1">
        <f t="array" aca="1" ref="AR20" ca="1">OFFSET(INDIRECT("Sheet"&amp;P$5&amp;"!f1"),P20-1,)</f>
        <v>1.2007080003968401E-3</v>
      </c>
    </row>
    <row r="21" spans="1:44" x14ac:dyDescent="0.2">
      <c r="A21">
        <v>11</v>
      </c>
      <c r="B21" t="s">
        <v>46</v>
      </c>
      <c r="C21">
        <v>5</v>
      </c>
      <c r="D21">
        <f t="shared" ca="1" si="3"/>
        <v>29</v>
      </c>
      <c r="E21">
        <f t="shared" ca="1" si="3"/>
        <v>29</v>
      </c>
      <c r="F21">
        <f t="shared" ca="1" si="3"/>
        <v>29</v>
      </c>
      <c r="G21">
        <f t="shared" ca="1" si="3"/>
        <v>29</v>
      </c>
      <c r="H21">
        <f t="shared" ca="1" si="3"/>
        <v>29</v>
      </c>
      <c r="I21" t="e">
        <f t="shared" ca="1" si="2"/>
        <v>#N/A</v>
      </c>
      <c r="J21" t="e">
        <f t="shared" ca="1" si="3"/>
        <v>#N/A</v>
      </c>
      <c r="K21" t="e">
        <f t="shared" ca="1" si="3"/>
        <v>#N/A</v>
      </c>
      <c r="L21">
        <f t="shared" ca="1" si="3"/>
        <v>29</v>
      </c>
      <c r="M21">
        <f t="shared" ca="1" si="2"/>
        <v>29</v>
      </c>
      <c r="N21">
        <f t="shared" ca="1" si="3"/>
        <v>29</v>
      </c>
      <c r="O21">
        <f t="shared" ca="1" si="3"/>
        <v>29</v>
      </c>
      <c r="P21">
        <f t="shared" ca="1" si="2"/>
        <v>29</v>
      </c>
      <c r="R21" cm="1">
        <f t="array" aca="1" ref="R21" ca="1">OFFSET(INDIRECT("Sheet"&amp;D$5&amp;"!d1"),D21-1,)</f>
        <v>8</v>
      </c>
      <c r="S21" cm="1">
        <f t="array" aca="1" ref="S21" ca="1">OFFSET(INDIRECT("Sheet"&amp;E$5&amp;"!d1"),E21-1,)</f>
        <v>8</v>
      </c>
      <c r="T21" cm="1">
        <f t="array" aca="1" ref="T21" ca="1">OFFSET(INDIRECT("Sheet"&amp;F$5&amp;"!d1"),F21-1,)</f>
        <v>8</v>
      </c>
      <c r="U21" cm="1">
        <f t="array" aca="1" ref="U21" ca="1">OFFSET(INDIRECT("Sheet"&amp;G$5&amp;"!d1"),G21-1,)</f>
        <v>17</v>
      </c>
      <c r="V21" cm="1">
        <f t="array" aca="1" ref="V21" ca="1">OFFSET(INDIRECT("Sheet"&amp;H$5&amp;"!d1"),H21-1,)</f>
        <v>8</v>
      </c>
      <c r="W21" t="e" cm="1">
        <f t="array" aca="1" ref="W21" ca="1">OFFSET(INDIRECT("Sheet"&amp;I$5&amp;"!d1"),I21-1,)</f>
        <v>#N/A</v>
      </c>
      <c r="X21" t="e" cm="1">
        <f t="array" aca="1" ref="X21" ca="1">OFFSET(INDIRECT("Sheet"&amp;J$5&amp;"!d1"),J21-1,)</f>
        <v>#N/A</v>
      </c>
      <c r="Y21" t="e" cm="1">
        <f t="array" aca="1" ref="Y21" ca="1">OFFSET(INDIRECT("Sheet"&amp;K$5&amp;"!d1"),K21-1,)</f>
        <v>#N/A</v>
      </c>
      <c r="Z21" cm="1">
        <f t="array" aca="1" ref="Z21" ca="1">OFFSET(INDIRECT("Sheet"&amp;L$5&amp;"!d1"),L21-1,)</f>
        <v>8</v>
      </c>
      <c r="AA21" cm="1">
        <f t="array" aca="1" ref="AA21" ca="1">OFFSET(INDIRECT("Sheet"&amp;M$5&amp;"!d1"),M21-1,)</f>
        <v>8</v>
      </c>
      <c r="AB21" cm="1">
        <f t="array" aca="1" ref="AB21" ca="1">OFFSET(INDIRECT("Sheet"&amp;N$5&amp;"!d1"),N21-1,)</f>
        <v>8</v>
      </c>
      <c r="AC21" cm="1">
        <f t="array" aca="1" ref="AC21" ca="1">OFFSET(INDIRECT("Sheet"&amp;O$5&amp;"!d1"),O21-1,)</f>
        <v>17</v>
      </c>
      <c r="AD21" cm="1">
        <f t="array" aca="1" ref="AD21" ca="1">OFFSET(INDIRECT("Sheet"&amp;P$5&amp;"!d1"),P21-1,)</f>
        <v>8</v>
      </c>
      <c r="AF21" s="2" cm="1">
        <f t="array" aca="1" ref="AF21" ca="1">OFFSET(INDIRECT("Sheet"&amp;D$5&amp;"!f1"),D21-1,)</f>
        <v>2.7661903259999798</v>
      </c>
      <c r="AG21" s="2" cm="1">
        <f t="array" aca="1" ref="AG21" ca="1">OFFSET(INDIRECT("Sheet"&amp;E$5&amp;"!f1"),E21-1,)</f>
        <v>20.645562097997701</v>
      </c>
      <c r="AH21" s="2" cm="1">
        <f t="array" aca="1" ref="AH21" ca="1">OFFSET(INDIRECT("Sheet"&amp;F$5&amp;"!f1"),F21-1,)</f>
        <v>3.57368319964734E-2</v>
      </c>
      <c r="AI21" s="2" cm="1">
        <f t="array" aca="1" ref="AI21" ca="1">OFFSET(INDIRECT("Sheet"&amp;G$5&amp;"!f1"),G21-1,)</f>
        <v>1.8498003482818599E-3</v>
      </c>
      <c r="AJ21" s="2" cm="1">
        <f t="array" aca="1" ref="AJ21" ca="1">OFFSET(INDIRECT("Sheet"&amp;H$5&amp;"!f1"),H21-1,)</f>
        <v>2.7433159260000002</v>
      </c>
      <c r="AK21" s="2" t="e" cm="1">
        <f t="array" aca="1" ref="AK21" ca="1">OFFSET(INDIRECT("Sheet"&amp;I$5&amp;"!f1"),I21-1,)</f>
        <v>#N/A</v>
      </c>
      <c r="AL21" s="2" t="e" cm="1">
        <f t="array" aca="1" ref="AL21" ca="1">OFFSET(INDIRECT("Sheet"&amp;J$5&amp;"!f1"),J21-1,)</f>
        <v>#N/A</v>
      </c>
      <c r="AM21" s="2" t="e" cm="1">
        <f t="array" aca="1" ref="AM21" ca="1">OFFSET(INDIRECT("Sheet"&amp;K$5&amp;"!f1"),K21-1,)</f>
        <v>#N/A</v>
      </c>
      <c r="AN21" s="2" cm="1">
        <f t="array" aca="1" ref="AN21" ca="1">OFFSET(INDIRECT("Sheet"&amp;L$5&amp;"!f1"),L21-1,)</f>
        <v>2.8180295819999999</v>
      </c>
      <c r="AO21" s="2" cm="1">
        <f t="array" aca="1" ref="AO21" ca="1">OFFSET(INDIRECT("Sheet"&amp;M$5&amp;"!f1"),M21-1,)</f>
        <v>20.342198284008099</v>
      </c>
      <c r="AP21" s="2" cm="1">
        <f t="array" aca="1" ref="AP21" ca="1">OFFSET(INDIRECT("Sheet"&amp;N$5&amp;"!f1"),N21-1,)</f>
        <v>3.5317789996042799E-2</v>
      </c>
      <c r="AQ21" s="2" cm="1">
        <f t="array" aca="1" ref="AQ21" ca="1">OFFSET(INDIRECT("Sheet"&amp;O$5&amp;"!f1"),O21-1,)</f>
        <v>1.595139503479E-3</v>
      </c>
      <c r="AR21" s="2" cm="1">
        <f t="array" aca="1" ref="AR21" ca="1">OFFSET(INDIRECT("Sheet"&amp;P$5&amp;"!f1"),P21-1,)</f>
        <v>4.9482920003356403E-3</v>
      </c>
    </row>
    <row r="22" spans="1:44" x14ac:dyDescent="0.2">
      <c r="A22">
        <v>12</v>
      </c>
      <c r="B22" t="s">
        <v>28</v>
      </c>
      <c r="C22">
        <v>5</v>
      </c>
      <c r="D22">
        <f t="shared" ca="1" si="3"/>
        <v>30</v>
      </c>
      <c r="E22">
        <f t="shared" ca="1" si="3"/>
        <v>30</v>
      </c>
      <c r="F22">
        <f t="shared" ca="1" si="3"/>
        <v>30</v>
      </c>
      <c r="G22">
        <f t="shared" ca="1" si="3"/>
        <v>30</v>
      </c>
      <c r="H22">
        <f t="shared" ca="1" si="3"/>
        <v>30</v>
      </c>
      <c r="I22" t="e">
        <f t="shared" ca="1" si="2"/>
        <v>#N/A</v>
      </c>
      <c r="J22" t="e">
        <f t="shared" ca="1" si="3"/>
        <v>#N/A</v>
      </c>
      <c r="K22" t="e">
        <f t="shared" ca="1" si="3"/>
        <v>#N/A</v>
      </c>
      <c r="L22">
        <f t="shared" ca="1" si="3"/>
        <v>30</v>
      </c>
      <c r="M22">
        <f t="shared" ca="1" si="2"/>
        <v>30</v>
      </c>
      <c r="N22">
        <f t="shared" ca="1" si="3"/>
        <v>30</v>
      </c>
      <c r="O22">
        <f t="shared" ca="1" si="3"/>
        <v>30</v>
      </c>
      <c r="P22">
        <f t="shared" ca="1" si="2"/>
        <v>30</v>
      </c>
      <c r="R22" cm="1">
        <f t="array" aca="1" ref="R22" ca="1">OFFSET(INDIRECT("Sheet"&amp;D$5&amp;"!d1"),D22-1,)</f>
        <v>8</v>
      </c>
      <c r="S22" cm="1">
        <f t="array" aca="1" ref="S22" ca="1">OFFSET(INDIRECT("Sheet"&amp;E$5&amp;"!d1"),E22-1,)</f>
        <v>8</v>
      </c>
      <c r="T22" cm="1">
        <f t="array" aca="1" ref="T22" ca="1">OFFSET(INDIRECT("Sheet"&amp;F$5&amp;"!d1"),F22-1,)</f>
        <v>9</v>
      </c>
      <c r="U22" cm="1">
        <f t="array" aca="1" ref="U22" ca="1">OFFSET(INDIRECT("Sheet"&amp;G$5&amp;"!d1"),G22-1,)</f>
        <v>20</v>
      </c>
      <c r="V22" cm="1">
        <f t="array" aca="1" ref="V22" ca="1">OFFSET(INDIRECT("Sheet"&amp;H$5&amp;"!d1"),H22-1,)</f>
        <v>8</v>
      </c>
      <c r="W22" t="e" cm="1">
        <f t="array" aca="1" ref="W22" ca="1">OFFSET(INDIRECT("Sheet"&amp;I$5&amp;"!d1"),I22-1,)</f>
        <v>#N/A</v>
      </c>
      <c r="X22" t="e" cm="1">
        <f t="array" aca="1" ref="X22" ca="1">OFFSET(INDIRECT("Sheet"&amp;J$5&amp;"!d1"),J22-1,)</f>
        <v>#N/A</v>
      </c>
      <c r="Y22" t="e" cm="1">
        <f t="array" aca="1" ref="Y22" ca="1">OFFSET(INDIRECT("Sheet"&amp;K$5&amp;"!d1"),K22-1,)</f>
        <v>#N/A</v>
      </c>
      <c r="Z22" cm="1">
        <f t="array" aca="1" ref="Z22" ca="1">OFFSET(INDIRECT("Sheet"&amp;L$5&amp;"!d1"),L22-1,)</f>
        <v>8</v>
      </c>
      <c r="AA22" cm="1">
        <f t="array" aca="1" ref="AA22" ca="1">OFFSET(INDIRECT("Sheet"&amp;M$5&amp;"!d1"),M22-1,)</f>
        <v>8</v>
      </c>
      <c r="AB22" cm="1">
        <f t="array" aca="1" ref="AB22" ca="1">OFFSET(INDIRECT("Sheet"&amp;N$5&amp;"!d1"),N22-1,)</f>
        <v>9</v>
      </c>
      <c r="AC22" cm="1">
        <f t="array" aca="1" ref="AC22" ca="1">OFFSET(INDIRECT("Sheet"&amp;O$5&amp;"!d1"),O22-1,)</f>
        <v>20</v>
      </c>
      <c r="AD22" cm="1">
        <f t="array" aca="1" ref="AD22" ca="1">OFFSET(INDIRECT("Sheet"&amp;P$5&amp;"!d1"),P22-1,)</f>
        <v>8</v>
      </c>
      <c r="AF22" s="2" cm="1">
        <f t="array" aca="1" ref="AF22" ca="1">OFFSET(INDIRECT("Sheet"&amp;D$5&amp;"!f1"),D22-1,)</f>
        <v>2.6938771800000101</v>
      </c>
      <c r="AG22" s="2" cm="1">
        <f t="array" aca="1" ref="AG22" ca="1">OFFSET(INDIRECT("Sheet"&amp;E$5&amp;"!f1"),E22-1,)</f>
        <v>19.621634605005902</v>
      </c>
      <c r="AH22" s="2" cm="1">
        <f t="array" aca="1" ref="AH22" ca="1">OFFSET(INDIRECT("Sheet"&amp;F$5&amp;"!f1"),F22-1,)</f>
        <v>4.6923148998757797E-2</v>
      </c>
      <c r="AI22" s="2" cm="1">
        <f t="array" aca="1" ref="AI22" ca="1">OFFSET(INDIRECT("Sheet"&amp;G$5&amp;"!f1"),G22-1,)</f>
        <v>1.6954988241195601E-3</v>
      </c>
      <c r="AJ22" s="2" cm="1">
        <f t="array" aca="1" ref="AJ22" ca="1">OFFSET(INDIRECT("Sheet"&amp;H$5&amp;"!f1"),H22-1,)</f>
        <v>2.69702904999999</v>
      </c>
      <c r="AK22" s="2" t="e" cm="1">
        <f t="array" aca="1" ref="AK22" ca="1">OFFSET(INDIRECT("Sheet"&amp;I$5&amp;"!f1"),I22-1,)</f>
        <v>#N/A</v>
      </c>
      <c r="AL22" s="2" t="e" cm="1">
        <f t="array" aca="1" ref="AL22" ca="1">OFFSET(INDIRECT("Sheet"&amp;J$5&amp;"!f1"),J22-1,)</f>
        <v>#N/A</v>
      </c>
      <c r="AM22" s="2" t="e" cm="1">
        <f t="array" aca="1" ref="AM22" ca="1">OFFSET(INDIRECT("Sheet"&amp;K$5&amp;"!f1"),K22-1,)</f>
        <v>#N/A</v>
      </c>
      <c r="AN22" s="2" cm="1">
        <f t="array" aca="1" ref="AN22" ca="1">OFFSET(INDIRECT("Sheet"&amp;L$5&amp;"!f1"),L22-1,)</f>
        <v>2.7490976809999901</v>
      </c>
      <c r="AO22" s="2" cm="1">
        <f t="array" aca="1" ref="AO22" ca="1">OFFSET(INDIRECT("Sheet"&amp;M$5&amp;"!f1"),M22-1,)</f>
        <v>19.2966937439923</v>
      </c>
      <c r="AP22" s="2" cm="1">
        <f t="array" aca="1" ref="AP22" ca="1">OFFSET(INDIRECT("Sheet"&amp;N$5&amp;"!f1"),N22-1,)</f>
        <v>4.65622839983552E-2</v>
      </c>
      <c r="AQ22" s="2" cm="1">
        <f t="array" aca="1" ref="AQ22" ca="1">OFFSET(INDIRECT("Sheet"&amp;O$5&amp;"!f1"),O22-1,)</f>
        <v>1.66528671979904E-3</v>
      </c>
      <c r="AR22" s="2" cm="1">
        <f t="array" aca="1" ref="AR22" ca="1">OFFSET(INDIRECT("Sheet"&amp;P$5&amp;"!f1"),P22-1,)</f>
        <v>3.4676670002227101E-3</v>
      </c>
    </row>
    <row r="23" spans="1:44" x14ac:dyDescent="0.2">
      <c r="A23">
        <v>13</v>
      </c>
      <c r="B23" t="s">
        <v>20</v>
      </c>
      <c r="C23">
        <v>5</v>
      </c>
      <c r="D23">
        <f t="shared" ca="1" si="3"/>
        <v>31</v>
      </c>
      <c r="E23">
        <f t="shared" ca="1" si="3"/>
        <v>31</v>
      </c>
      <c r="F23">
        <f t="shared" ca="1" si="3"/>
        <v>31</v>
      </c>
      <c r="G23">
        <f t="shared" ca="1" si="3"/>
        <v>31</v>
      </c>
      <c r="H23">
        <f t="shared" ca="1" si="3"/>
        <v>31</v>
      </c>
      <c r="I23" t="e">
        <f t="shared" ca="1" si="2"/>
        <v>#N/A</v>
      </c>
      <c r="J23" t="e">
        <f t="shared" ca="1" si="3"/>
        <v>#N/A</v>
      </c>
      <c r="K23" t="e">
        <f t="shared" ca="1" si="3"/>
        <v>#N/A</v>
      </c>
      <c r="L23">
        <f t="shared" ca="1" si="3"/>
        <v>31</v>
      </c>
      <c r="M23">
        <f t="shared" ca="1" si="2"/>
        <v>31</v>
      </c>
      <c r="N23">
        <f t="shared" ca="1" si="3"/>
        <v>31</v>
      </c>
      <c r="O23">
        <f t="shared" ca="1" si="3"/>
        <v>31</v>
      </c>
      <c r="P23">
        <f t="shared" ca="1" si="2"/>
        <v>31</v>
      </c>
      <c r="R23" cm="1">
        <f t="array" aca="1" ref="R23" ca="1">OFFSET(INDIRECT("Sheet"&amp;D$5&amp;"!d1"),D23-1,)</f>
        <v>7</v>
      </c>
      <c r="S23" cm="1">
        <f t="array" aca="1" ref="S23" ca="1">OFFSET(INDIRECT("Sheet"&amp;E$5&amp;"!d1"),E23-1,)</f>
        <v>7</v>
      </c>
      <c r="T23" cm="1">
        <f t="array" aca="1" ref="T23" ca="1">OFFSET(INDIRECT("Sheet"&amp;F$5&amp;"!d1"),F23-1,)</f>
        <v>8</v>
      </c>
      <c r="U23" cm="1">
        <f t="array" aca="1" ref="U23" ca="1">OFFSET(INDIRECT("Sheet"&amp;G$5&amp;"!d1"),G23-1,)</f>
        <v>22</v>
      </c>
      <c r="V23" cm="1">
        <f t="array" aca="1" ref="V23" ca="1">OFFSET(INDIRECT("Sheet"&amp;H$5&amp;"!d1"),H23-1,)</f>
        <v>7</v>
      </c>
      <c r="W23" t="e" cm="1">
        <f t="array" aca="1" ref="W23" ca="1">OFFSET(INDIRECT("Sheet"&amp;I$5&amp;"!d1"),I23-1,)</f>
        <v>#N/A</v>
      </c>
      <c r="X23" t="e" cm="1">
        <f t="array" aca="1" ref="X23" ca="1">OFFSET(INDIRECT("Sheet"&amp;J$5&amp;"!d1"),J23-1,)</f>
        <v>#N/A</v>
      </c>
      <c r="Y23" t="e" cm="1">
        <f t="array" aca="1" ref="Y23" ca="1">OFFSET(INDIRECT("Sheet"&amp;K$5&amp;"!d1"),K23-1,)</f>
        <v>#N/A</v>
      </c>
      <c r="Z23" cm="1">
        <f t="array" aca="1" ref="Z23" ca="1">OFFSET(INDIRECT("Sheet"&amp;L$5&amp;"!d1"),L23-1,)</f>
        <v>7</v>
      </c>
      <c r="AA23" cm="1">
        <f t="array" aca="1" ref="AA23" ca="1">OFFSET(INDIRECT("Sheet"&amp;M$5&amp;"!d1"),M23-1,)</f>
        <v>7</v>
      </c>
      <c r="AB23" cm="1">
        <f t="array" aca="1" ref="AB23" ca="1">OFFSET(INDIRECT("Sheet"&amp;N$5&amp;"!d1"),N23-1,)</f>
        <v>8</v>
      </c>
      <c r="AC23" cm="1">
        <f t="array" aca="1" ref="AC23" ca="1">OFFSET(INDIRECT("Sheet"&amp;O$5&amp;"!d1"),O23-1,)</f>
        <v>22</v>
      </c>
      <c r="AD23" cm="1">
        <f t="array" aca="1" ref="AD23" ca="1">OFFSET(INDIRECT("Sheet"&amp;P$5&amp;"!d1"),P23-1,)</f>
        <v>7</v>
      </c>
      <c r="AF23" s="2" cm="1">
        <f t="array" aca="1" ref="AF23" ca="1">OFFSET(INDIRECT("Sheet"&amp;D$5&amp;"!f1"),D23-1,)</f>
        <v>1.39974271400001</v>
      </c>
      <c r="AG23" s="2" cm="1">
        <f t="array" aca="1" ref="AG23" ca="1">OFFSET(INDIRECT("Sheet"&amp;E$5&amp;"!f1"),E23-1,)</f>
        <v>7.3454542120016404</v>
      </c>
      <c r="AH23" s="2" cm="1">
        <f t="array" aca="1" ref="AH23" ca="1">OFFSET(INDIRECT("Sheet"&amp;F$5&amp;"!f1"),F23-1,)</f>
        <v>3.6019431994645801E-2</v>
      </c>
      <c r="AI23" s="2" cm="1">
        <f t="array" aca="1" ref="AI23" ca="1">OFFSET(INDIRECT("Sheet"&amp;G$5&amp;"!f1"),G23-1,)</f>
        <v>1.6851872205734201E-3</v>
      </c>
      <c r="AJ23" s="2" cm="1">
        <f t="array" aca="1" ref="AJ23" ca="1">OFFSET(INDIRECT("Sheet"&amp;H$5&amp;"!f1"),H23-1,)</f>
        <v>1.3932817909999899</v>
      </c>
      <c r="AK23" s="2" t="e" cm="1">
        <f t="array" aca="1" ref="AK23" ca="1">OFFSET(INDIRECT("Sheet"&amp;I$5&amp;"!f1"),I23-1,)</f>
        <v>#N/A</v>
      </c>
      <c r="AL23" s="2" t="e" cm="1">
        <f t="array" aca="1" ref="AL23" ca="1">OFFSET(INDIRECT("Sheet"&amp;J$5&amp;"!f1"),J23-1,)</f>
        <v>#N/A</v>
      </c>
      <c r="AM23" s="2" t="e" cm="1">
        <f t="array" aca="1" ref="AM23" ca="1">OFFSET(INDIRECT("Sheet"&amp;K$5&amp;"!f1"),K23-1,)</f>
        <v>#N/A</v>
      </c>
      <c r="AN23" s="2" cm="1">
        <f t="array" aca="1" ref="AN23" ca="1">OFFSET(INDIRECT("Sheet"&amp;L$5&amp;"!f1"),L23-1,)</f>
        <v>1.426962828</v>
      </c>
      <c r="AO23" s="2" cm="1">
        <f t="array" aca="1" ref="AO23" ca="1">OFFSET(INDIRECT("Sheet"&amp;M$5&amp;"!f1"),M23-1,)</f>
        <v>7.23536497900204</v>
      </c>
      <c r="AP23" s="2" cm="1">
        <f t="array" aca="1" ref="AP23" ca="1">OFFSET(INDIRECT("Sheet"&amp;N$5&amp;"!f1"),N23-1,)</f>
        <v>3.5986709990538601E-2</v>
      </c>
      <c r="AQ23" s="2" cm="1">
        <f t="array" aca="1" ref="AQ23" ca="1">OFFSET(INDIRECT("Sheet"&amp;O$5&amp;"!f1"),O23-1,)</f>
        <v>1.64379179477691E-3</v>
      </c>
      <c r="AR23" s="2" cm="1">
        <f t="array" aca="1" ref="AR23" ca="1">OFFSET(INDIRECT("Sheet"&amp;P$5&amp;"!f1"),P23-1,)</f>
        <v>2.9669579998880999E-3</v>
      </c>
    </row>
    <row r="24" spans="1:44" x14ac:dyDescent="0.2">
      <c r="A24">
        <v>14</v>
      </c>
      <c r="B24" t="s">
        <v>24</v>
      </c>
      <c r="C24">
        <v>5</v>
      </c>
      <c r="D24">
        <f t="shared" ca="1" si="3"/>
        <v>32</v>
      </c>
      <c r="E24">
        <f t="shared" ca="1" si="3"/>
        <v>32</v>
      </c>
      <c r="F24">
        <f t="shared" ca="1" si="3"/>
        <v>32</v>
      </c>
      <c r="G24">
        <f t="shared" ca="1" si="3"/>
        <v>32</v>
      </c>
      <c r="H24">
        <f t="shared" ca="1" si="3"/>
        <v>32</v>
      </c>
      <c r="I24" t="e">
        <f t="shared" ca="1" si="2"/>
        <v>#N/A</v>
      </c>
      <c r="J24" t="e">
        <f t="shared" ca="1" si="3"/>
        <v>#N/A</v>
      </c>
      <c r="K24" t="e">
        <f t="shared" ca="1" si="3"/>
        <v>#N/A</v>
      </c>
      <c r="L24">
        <f t="shared" ca="1" si="3"/>
        <v>32</v>
      </c>
      <c r="M24">
        <f t="shared" ca="1" si="2"/>
        <v>32</v>
      </c>
      <c r="N24">
        <f t="shared" ca="1" si="3"/>
        <v>32</v>
      </c>
      <c r="O24">
        <f t="shared" ca="1" si="3"/>
        <v>32</v>
      </c>
      <c r="P24">
        <f t="shared" ca="1" si="2"/>
        <v>32</v>
      </c>
      <c r="R24" cm="1">
        <f t="array" aca="1" ref="R24" ca="1">OFFSET(INDIRECT("Sheet"&amp;D$5&amp;"!d1"),D24-1,)</f>
        <v>7</v>
      </c>
      <c r="S24" cm="1">
        <f t="array" aca="1" ref="S24" ca="1">OFFSET(INDIRECT("Sheet"&amp;E$5&amp;"!d1"),E24-1,)</f>
        <v>7</v>
      </c>
      <c r="T24" cm="1">
        <f t="array" aca="1" ref="T24" ca="1">OFFSET(INDIRECT("Sheet"&amp;F$5&amp;"!d1"),F24-1,)</f>
        <v>7</v>
      </c>
      <c r="U24" cm="1">
        <f t="array" aca="1" ref="U24" ca="1">OFFSET(INDIRECT("Sheet"&amp;G$5&amp;"!d1"),G24-1,)</f>
        <v>21</v>
      </c>
      <c r="V24" cm="1">
        <f t="array" aca="1" ref="V24" ca="1">OFFSET(INDIRECT("Sheet"&amp;H$5&amp;"!d1"),H24-1,)</f>
        <v>7</v>
      </c>
      <c r="W24" t="e" cm="1">
        <f t="array" aca="1" ref="W24" ca="1">OFFSET(INDIRECT("Sheet"&amp;I$5&amp;"!d1"),I24-1,)</f>
        <v>#N/A</v>
      </c>
      <c r="X24" t="e" cm="1">
        <f t="array" aca="1" ref="X24" ca="1">OFFSET(INDIRECT("Sheet"&amp;J$5&amp;"!d1"),J24-1,)</f>
        <v>#N/A</v>
      </c>
      <c r="Y24" t="e" cm="1">
        <f t="array" aca="1" ref="Y24" ca="1">OFFSET(INDIRECT("Sheet"&amp;K$5&amp;"!d1"),K24-1,)</f>
        <v>#N/A</v>
      </c>
      <c r="Z24" cm="1">
        <f t="array" aca="1" ref="Z24" ca="1">OFFSET(INDIRECT("Sheet"&amp;L$5&amp;"!d1"),L24-1,)</f>
        <v>7</v>
      </c>
      <c r="AA24" cm="1">
        <f t="array" aca="1" ref="AA24" ca="1">OFFSET(INDIRECT("Sheet"&amp;M$5&amp;"!d1"),M24-1,)</f>
        <v>7</v>
      </c>
      <c r="AB24" cm="1">
        <f t="array" aca="1" ref="AB24" ca="1">OFFSET(INDIRECT("Sheet"&amp;N$5&amp;"!d1"),N24-1,)</f>
        <v>7</v>
      </c>
      <c r="AC24" cm="1">
        <f t="array" aca="1" ref="AC24" ca="1">OFFSET(INDIRECT("Sheet"&amp;O$5&amp;"!d1"),O24-1,)</f>
        <v>21</v>
      </c>
      <c r="AD24" cm="1">
        <f t="array" aca="1" ref="AD24" ca="1">OFFSET(INDIRECT("Sheet"&amp;P$5&amp;"!d1"),P24-1,)</f>
        <v>7</v>
      </c>
      <c r="AF24" s="2" cm="1">
        <f t="array" aca="1" ref="AF24" ca="1">OFFSET(INDIRECT("Sheet"&amp;D$5&amp;"!f1"),D24-1,)</f>
        <v>1.6600286149999799</v>
      </c>
      <c r="AG24" s="2" cm="1">
        <f t="array" aca="1" ref="AG24" ca="1">OFFSET(INDIRECT("Sheet"&amp;E$5&amp;"!f1"),E24-1,)</f>
        <v>12.6125105469982</v>
      </c>
      <c r="AH24" s="2" cm="1">
        <f t="array" aca="1" ref="AH24" ca="1">OFFSET(INDIRECT("Sheet"&amp;F$5&amp;"!f1"),F24-1,)</f>
        <v>2.7744670995161799E-2</v>
      </c>
      <c r="AI24" s="2" cm="1">
        <f t="array" aca="1" ref="AI24" ca="1">OFFSET(INDIRECT("Sheet"&amp;G$5&amp;"!f1"),G24-1,)</f>
        <v>1.5930980443954401E-3</v>
      </c>
      <c r="AJ24" s="2" cm="1">
        <f t="array" aca="1" ref="AJ24" ca="1">OFFSET(INDIRECT("Sheet"&amp;H$5&amp;"!f1"),H24-1,)</f>
        <v>1.65059946300002</v>
      </c>
      <c r="AK24" s="2" t="e" cm="1">
        <f t="array" aca="1" ref="AK24" ca="1">OFFSET(INDIRECT("Sheet"&amp;I$5&amp;"!f1"),I24-1,)</f>
        <v>#N/A</v>
      </c>
      <c r="AL24" s="2" t="e" cm="1">
        <f t="array" aca="1" ref="AL24" ca="1">OFFSET(INDIRECT("Sheet"&amp;J$5&amp;"!f1"),J24-1,)</f>
        <v>#N/A</v>
      </c>
      <c r="AM24" s="2" t="e" cm="1">
        <f t="array" aca="1" ref="AM24" ca="1">OFFSET(INDIRECT("Sheet"&amp;K$5&amp;"!f1"),K24-1,)</f>
        <v>#N/A</v>
      </c>
      <c r="AN24" s="2" cm="1">
        <f t="array" aca="1" ref="AN24" ca="1">OFFSET(INDIRECT("Sheet"&amp;L$5&amp;"!f1"),L24-1,)</f>
        <v>1.6951679959999999</v>
      </c>
      <c r="AO24" s="2" cm="1">
        <f t="array" aca="1" ref="AO24" ca="1">OFFSET(INDIRECT("Sheet"&amp;M$5&amp;"!f1"),M24-1,)</f>
        <v>12.437876928001</v>
      </c>
      <c r="AP24" s="2" cm="1">
        <f t="array" aca="1" ref="AP24" ca="1">OFFSET(INDIRECT("Sheet"&amp;N$5&amp;"!f1"),N24-1,)</f>
        <v>2.7693302006809899E-2</v>
      </c>
      <c r="AQ24" s="2" cm="1">
        <f t="array" aca="1" ref="AQ24" ca="1">OFFSET(INDIRECT("Sheet"&amp;O$5&amp;"!f1"),O24-1,)</f>
        <v>1.55135989189147E-3</v>
      </c>
      <c r="AR24" s="2" cm="1">
        <f t="array" aca="1" ref="AR24" ca="1">OFFSET(INDIRECT("Sheet"&amp;P$5&amp;"!f1"),P24-1,)</f>
        <v>2.2772920019633598E-3</v>
      </c>
    </row>
    <row r="25" spans="1:44" x14ac:dyDescent="0.2">
      <c r="A25">
        <v>15</v>
      </c>
      <c r="B25" t="s">
        <v>42</v>
      </c>
      <c r="C25">
        <v>5</v>
      </c>
      <c r="D25">
        <f t="shared" ca="1" si="3"/>
        <v>33</v>
      </c>
      <c r="E25">
        <f t="shared" ca="1" si="3"/>
        <v>33</v>
      </c>
      <c r="F25">
        <f t="shared" ca="1" si="3"/>
        <v>33</v>
      </c>
      <c r="G25">
        <f t="shared" ca="1" si="3"/>
        <v>33</v>
      </c>
      <c r="H25">
        <f t="shared" ca="1" si="3"/>
        <v>33</v>
      </c>
      <c r="I25" t="e">
        <f t="shared" ca="1" si="2"/>
        <v>#N/A</v>
      </c>
      <c r="J25" t="e">
        <f t="shared" ca="1" si="3"/>
        <v>#N/A</v>
      </c>
      <c r="K25" t="e">
        <f t="shared" ca="1" si="3"/>
        <v>#N/A</v>
      </c>
      <c r="L25">
        <f t="shared" ca="1" si="3"/>
        <v>33</v>
      </c>
      <c r="M25">
        <f t="shared" ca="1" si="2"/>
        <v>33</v>
      </c>
      <c r="N25">
        <f t="shared" ca="1" si="3"/>
        <v>33</v>
      </c>
      <c r="O25">
        <f t="shared" ca="1" si="3"/>
        <v>33</v>
      </c>
      <c r="P25">
        <f t="shared" ca="1" si="2"/>
        <v>33</v>
      </c>
      <c r="R25" cm="1">
        <f t="array" aca="1" ref="R25" ca="1">OFFSET(INDIRECT("Sheet"&amp;D$5&amp;"!d1"),D25-1,)</f>
        <v>6</v>
      </c>
      <c r="S25" cm="1">
        <f t="array" aca="1" ref="S25" ca="1">OFFSET(INDIRECT("Sheet"&amp;E$5&amp;"!d1"),E25-1,)</f>
        <v>6</v>
      </c>
      <c r="T25" cm="1">
        <f t="array" aca="1" ref="T25" ca="1">OFFSET(INDIRECT("Sheet"&amp;F$5&amp;"!d1"),F25-1,)</f>
        <v>6</v>
      </c>
      <c r="U25" cm="1">
        <f t="array" aca="1" ref="U25" ca="1">OFFSET(INDIRECT("Sheet"&amp;G$5&amp;"!d1"),G25-1,)</f>
        <v>20</v>
      </c>
      <c r="V25" cm="1">
        <f t="array" aca="1" ref="V25" ca="1">OFFSET(INDIRECT("Sheet"&amp;H$5&amp;"!d1"),H25-1,)</f>
        <v>6</v>
      </c>
      <c r="W25" t="e" cm="1">
        <f t="array" aca="1" ref="W25" ca="1">OFFSET(INDIRECT("Sheet"&amp;I$5&amp;"!d1"),I25-1,)</f>
        <v>#N/A</v>
      </c>
      <c r="X25" t="e" cm="1">
        <f t="array" aca="1" ref="X25" ca="1">OFFSET(INDIRECT("Sheet"&amp;J$5&amp;"!d1"),J25-1,)</f>
        <v>#N/A</v>
      </c>
      <c r="Y25" t="e" cm="1">
        <f t="array" aca="1" ref="Y25" ca="1">OFFSET(INDIRECT("Sheet"&amp;K$5&amp;"!d1"),K25-1,)</f>
        <v>#N/A</v>
      </c>
      <c r="Z25" cm="1">
        <f t="array" aca="1" ref="Z25" ca="1">OFFSET(INDIRECT("Sheet"&amp;L$5&amp;"!d1"),L25-1,)</f>
        <v>6</v>
      </c>
      <c r="AA25" cm="1">
        <f t="array" aca="1" ref="AA25" ca="1">OFFSET(INDIRECT("Sheet"&amp;M$5&amp;"!d1"),M25-1,)</f>
        <v>6</v>
      </c>
      <c r="AB25" cm="1">
        <f t="array" aca="1" ref="AB25" ca="1">OFFSET(INDIRECT("Sheet"&amp;N$5&amp;"!d1"),N25-1,)</f>
        <v>6</v>
      </c>
      <c r="AC25" cm="1">
        <f t="array" aca="1" ref="AC25" ca="1">OFFSET(INDIRECT("Sheet"&amp;O$5&amp;"!d1"),O25-1,)</f>
        <v>20</v>
      </c>
      <c r="AD25" cm="1">
        <f t="array" aca="1" ref="AD25" ca="1">OFFSET(INDIRECT("Sheet"&amp;P$5&amp;"!d1"),P25-1,)</f>
        <v>6</v>
      </c>
      <c r="AF25" s="2" cm="1">
        <f t="array" aca="1" ref="AF25" ca="1">OFFSET(INDIRECT("Sheet"&amp;D$5&amp;"!f1"),D25-1,)</f>
        <v>0.735705500999984</v>
      </c>
      <c r="AG25" s="2" cm="1">
        <f t="array" aca="1" ref="AG25" ca="1">OFFSET(INDIRECT("Sheet"&amp;E$5&amp;"!f1"),E25-1,)</f>
        <v>1.22266900000977</v>
      </c>
      <c r="AH25" s="2" cm="1">
        <f t="array" aca="1" ref="AH25" ca="1">OFFSET(INDIRECT("Sheet"&amp;F$5&amp;"!f1"),F25-1,)</f>
        <v>2.6753868995001501E-2</v>
      </c>
      <c r="AI25" s="2" cm="1">
        <f t="array" aca="1" ref="AI25" ca="1">OFFSET(INDIRECT("Sheet"&amp;G$5&amp;"!f1"),G25-1,)</f>
        <v>1.8935278058052E-3</v>
      </c>
      <c r="AJ25" s="2" cm="1">
        <f t="array" aca="1" ref="AJ25" ca="1">OFFSET(INDIRECT("Sheet"&amp;H$5&amp;"!f1"),H25-1,)</f>
        <v>0.73332119299999399</v>
      </c>
      <c r="AK25" s="2" t="e" cm="1">
        <f t="array" aca="1" ref="AK25" ca="1">OFFSET(INDIRECT("Sheet"&amp;I$5&amp;"!f1"),I25-1,)</f>
        <v>#N/A</v>
      </c>
      <c r="AL25" s="2" t="e" cm="1">
        <f t="array" aca="1" ref="AL25" ca="1">OFFSET(INDIRECT("Sheet"&amp;J$5&amp;"!f1"),J25-1,)</f>
        <v>#N/A</v>
      </c>
      <c r="AM25" s="2" t="e" cm="1">
        <f t="array" aca="1" ref="AM25" ca="1">OFFSET(INDIRECT("Sheet"&amp;K$5&amp;"!f1"),K25-1,)</f>
        <v>#N/A</v>
      </c>
      <c r="AN25" s="2" cm="1">
        <f t="array" aca="1" ref="AN25" ca="1">OFFSET(INDIRECT("Sheet"&amp;L$5&amp;"!f1"),L25-1,)</f>
        <v>0.75278998400000297</v>
      </c>
      <c r="AO25" s="2" cm="1">
        <f t="array" aca="1" ref="AO25" ca="1">OFFSET(INDIRECT("Sheet"&amp;M$5&amp;"!f1"),M25-1,)</f>
        <v>1.2013431390078</v>
      </c>
      <c r="AP25" s="2" cm="1">
        <f t="array" aca="1" ref="AP25" ca="1">OFFSET(INDIRECT("Sheet"&amp;N$5&amp;"!f1"),N25-1,)</f>
        <v>2.6351939013693398E-2</v>
      </c>
      <c r="AQ25" s="2" cm="1">
        <f t="array" aca="1" ref="AQ25" ca="1">OFFSET(INDIRECT("Sheet"&amp;O$5&amp;"!f1"),O25-1,)</f>
        <v>1.7105415463447499E-3</v>
      </c>
      <c r="AR25" s="2" cm="1">
        <f t="array" aca="1" ref="AR25" ca="1">OFFSET(INDIRECT("Sheet"&amp;P$5&amp;"!f1"),P25-1,)</f>
        <v>2.30366600226261E-3</v>
      </c>
    </row>
    <row r="26" spans="1:44" x14ac:dyDescent="0.2">
      <c r="A26">
        <v>16</v>
      </c>
      <c r="B26" t="s">
        <v>72</v>
      </c>
      <c r="C26">
        <v>6</v>
      </c>
      <c r="D26">
        <f t="shared" ca="1" si="3"/>
        <v>34</v>
      </c>
      <c r="E26">
        <f t="shared" ca="1" si="3"/>
        <v>34</v>
      </c>
      <c r="F26">
        <f t="shared" ca="1" si="3"/>
        <v>34</v>
      </c>
      <c r="G26">
        <f t="shared" ca="1" si="3"/>
        <v>34</v>
      </c>
      <c r="H26">
        <f t="shared" ca="1" si="3"/>
        <v>34</v>
      </c>
      <c r="I26" t="e">
        <f t="shared" ca="1" si="2"/>
        <v>#N/A</v>
      </c>
      <c r="J26" t="e">
        <f t="shared" ca="1" si="3"/>
        <v>#N/A</v>
      </c>
      <c r="K26" t="e">
        <f t="shared" ca="1" si="3"/>
        <v>#N/A</v>
      </c>
      <c r="L26">
        <f t="shared" ca="1" si="3"/>
        <v>34</v>
      </c>
      <c r="M26">
        <f t="shared" ca="1" si="2"/>
        <v>34</v>
      </c>
      <c r="N26">
        <f t="shared" ca="1" si="3"/>
        <v>34</v>
      </c>
      <c r="O26">
        <f t="shared" ca="1" si="3"/>
        <v>34</v>
      </c>
      <c r="P26">
        <f t="shared" ca="1" si="2"/>
        <v>34</v>
      </c>
      <c r="R26" cm="1">
        <f t="array" aca="1" ref="R26" ca="1">OFFSET(INDIRECT("Sheet"&amp;D$5&amp;"!d1"),D26-1,)</f>
        <v>11</v>
      </c>
      <c r="S26" cm="1">
        <f t="array" aca="1" ref="S26" ca="1">OFFSET(INDIRECT("Sheet"&amp;E$5&amp;"!d1"),E26-1,)</f>
        <v>11</v>
      </c>
      <c r="T26" cm="1">
        <f t="array" aca="1" ref="T26" ca="1">OFFSET(INDIRECT("Sheet"&amp;F$5&amp;"!d1"),F26-1,)</f>
        <v>12</v>
      </c>
      <c r="U26" cm="1">
        <f t="array" aca="1" ref="U26" ca="1">OFFSET(INDIRECT("Sheet"&amp;G$5&amp;"!d1"),G26-1,)</f>
        <v>32</v>
      </c>
      <c r="V26" cm="1">
        <f t="array" aca="1" ref="V26" ca="1">OFFSET(INDIRECT("Sheet"&amp;H$5&amp;"!d1"),H26-1,)</f>
        <v>11</v>
      </c>
      <c r="W26" t="e" cm="1">
        <f t="array" aca="1" ref="W26" ca="1">OFFSET(INDIRECT("Sheet"&amp;I$5&amp;"!d1"),I26-1,)</f>
        <v>#N/A</v>
      </c>
      <c r="X26" t="e" cm="1">
        <f t="array" aca="1" ref="X26" ca="1">OFFSET(INDIRECT("Sheet"&amp;J$5&amp;"!d1"),J26-1,)</f>
        <v>#N/A</v>
      </c>
      <c r="Y26" t="e" cm="1">
        <f t="array" aca="1" ref="Y26" ca="1">OFFSET(INDIRECT("Sheet"&amp;K$5&amp;"!d1"),K26-1,)</f>
        <v>#N/A</v>
      </c>
      <c r="Z26" cm="1">
        <f t="array" aca="1" ref="Z26" ca="1">OFFSET(INDIRECT("Sheet"&amp;L$5&amp;"!d1"),L26-1,)</f>
        <v>11</v>
      </c>
      <c r="AA26" cm="1">
        <f t="array" aca="1" ref="AA26" ca="1">OFFSET(INDIRECT("Sheet"&amp;M$5&amp;"!d1"),M26-1,)</f>
        <v>11</v>
      </c>
      <c r="AB26" cm="1">
        <f t="array" aca="1" ref="AB26" ca="1">OFFSET(INDIRECT("Sheet"&amp;N$5&amp;"!d1"),N26-1,)</f>
        <v>12</v>
      </c>
      <c r="AC26" cm="1">
        <f t="array" aca="1" ref="AC26" ca="1">OFFSET(INDIRECT("Sheet"&amp;O$5&amp;"!d1"),O26-1,)</f>
        <v>32</v>
      </c>
      <c r="AD26" cm="1">
        <f t="array" aca="1" ref="AD26" ca="1">OFFSET(INDIRECT("Sheet"&amp;P$5&amp;"!d1"),P26-1,)</f>
        <v>0</v>
      </c>
      <c r="AF26" s="2" cm="1">
        <f t="array" aca="1" ref="AF26" ca="1">OFFSET(INDIRECT("Sheet"&amp;D$5&amp;"!f1"),D26-1,)</f>
        <v>6.857790241</v>
      </c>
      <c r="AG26" s="2" cm="1">
        <f t="array" aca="1" ref="AG26" ca="1">OFFSET(INDIRECT("Sheet"&amp;E$5&amp;"!f1"),E26-1,)</f>
        <v>60.059572918005799</v>
      </c>
      <c r="AH26" s="2" cm="1">
        <f t="array" aca="1" ref="AH26" ca="1">OFFSET(INDIRECT("Sheet"&amp;F$5&amp;"!f1"),F26-1,)</f>
        <v>9.0180174011038602E-2</v>
      </c>
      <c r="AI26" s="2" cm="1">
        <f t="array" aca="1" ref="AI26" ca="1">OFFSET(INDIRECT("Sheet"&amp;G$5&amp;"!f1"),G26-1,)</f>
        <v>2.2044703364372201E-3</v>
      </c>
      <c r="AJ26" s="2" cm="1">
        <f t="array" aca="1" ref="AJ26" ca="1">OFFSET(INDIRECT("Sheet"&amp;H$5&amp;"!f1"),H26-1,)</f>
        <v>6.8135109449999902</v>
      </c>
      <c r="AK26" s="2" t="e" cm="1">
        <f t="array" aca="1" ref="AK26" ca="1">OFFSET(INDIRECT("Sheet"&amp;I$5&amp;"!f1"),I26-1,)</f>
        <v>#N/A</v>
      </c>
      <c r="AL26" s="2" t="e" cm="1">
        <f t="array" aca="1" ref="AL26" ca="1">OFFSET(INDIRECT("Sheet"&amp;J$5&amp;"!f1"),J26-1,)</f>
        <v>#N/A</v>
      </c>
      <c r="AM26" s="2" t="e" cm="1">
        <f t="array" aca="1" ref="AM26" ca="1">OFFSET(INDIRECT("Sheet"&amp;K$5&amp;"!f1"),K26-1,)</f>
        <v>#N/A</v>
      </c>
      <c r="AN26" s="2" cm="1">
        <f t="array" aca="1" ref="AN26" ca="1">OFFSET(INDIRECT("Sheet"&amp;L$5&amp;"!f1"),L26-1,)</f>
        <v>6.9925728940000003</v>
      </c>
      <c r="AO26" s="2" cm="1">
        <f t="array" aca="1" ref="AO26" ca="1">OFFSET(INDIRECT("Sheet"&amp;M$5&amp;"!f1"),M26-1,)</f>
        <v>58.988703245995502</v>
      </c>
      <c r="AP26" s="2" cm="1">
        <f t="array" aca="1" ref="AP26" ca="1">OFFSET(INDIRECT("Sheet"&amp;N$5&amp;"!f1"),N26-1,)</f>
        <v>8.942724399094E-2</v>
      </c>
      <c r="AQ26" s="2" cm="1">
        <f t="array" aca="1" ref="AQ26" ca="1">OFFSET(INDIRECT("Sheet"&amp;O$5&amp;"!f1"),O26-1,)</f>
        <v>2.17290222644805E-3</v>
      </c>
      <c r="AR26" s="2" cm="1">
        <f t="array" aca="1" ref="AR26" ca="1">OFFSET(INDIRECT("Sheet"&amp;P$5&amp;"!f1"),P26-1,)</f>
        <v>6.8129199644317796E-4</v>
      </c>
    </row>
    <row r="27" spans="1:44" x14ac:dyDescent="0.2">
      <c r="A27">
        <v>17</v>
      </c>
      <c r="B27" t="s">
        <v>64</v>
      </c>
      <c r="C27">
        <v>6</v>
      </c>
      <c r="D27">
        <f t="shared" ca="1" si="3"/>
        <v>35</v>
      </c>
      <c r="E27">
        <f t="shared" ca="1" si="3"/>
        <v>35</v>
      </c>
      <c r="F27">
        <f t="shared" ca="1" si="3"/>
        <v>35</v>
      </c>
      <c r="G27">
        <f t="shared" ca="1" si="3"/>
        <v>35</v>
      </c>
      <c r="H27">
        <f t="shared" ca="1" si="3"/>
        <v>35</v>
      </c>
      <c r="I27" t="e">
        <f t="shared" ca="1" si="3"/>
        <v>#N/A</v>
      </c>
      <c r="J27" t="e">
        <f t="shared" ca="1" si="3"/>
        <v>#N/A</v>
      </c>
      <c r="K27" t="e">
        <f t="shared" ca="1" si="3"/>
        <v>#N/A</v>
      </c>
      <c r="L27">
        <f t="shared" ca="1" si="3"/>
        <v>35</v>
      </c>
      <c r="M27">
        <f t="shared" ca="1" si="3"/>
        <v>35</v>
      </c>
      <c r="N27">
        <f t="shared" ca="1" si="3"/>
        <v>35</v>
      </c>
      <c r="O27">
        <f t="shared" ca="1" si="3"/>
        <v>35</v>
      </c>
      <c r="P27">
        <f t="shared" ref="P27:P50" ca="1" si="4">MATCH($A27,INDIRECT("Sheet"&amp;P$5&amp;"!a:a"),)</f>
        <v>35</v>
      </c>
      <c r="R27" cm="1">
        <f t="array" aca="1" ref="R27" ca="1">OFFSET(INDIRECT("Sheet"&amp;D$5&amp;"!d1"),D27-1,)</f>
        <v>10</v>
      </c>
      <c r="S27" cm="1">
        <f t="array" aca="1" ref="S27" ca="1">OFFSET(INDIRECT("Sheet"&amp;E$5&amp;"!d1"),E27-1,)</f>
        <v>10</v>
      </c>
      <c r="T27" cm="1">
        <f t="array" aca="1" ref="T27" ca="1">OFFSET(INDIRECT("Sheet"&amp;F$5&amp;"!d1"),F27-1,)</f>
        <v>12</v>
      </c>
      <c r="U27" cm="1">
        <f t="array" aca="1" ref="U27" ca="1">OFFSET(INDIRECT("Sheet"&amp;G$5&amp;"!d1"),G27-1,)</f>
        <v>28</v>
      </c>
      <c r="V27" cm="1">
        <f t="array" aca="1" ref="V27" ca="1">OFFSET(INDIRECT("Sheet"&amp;H$5&amp;"!d1"),H27-1,)</f>
        <v>10</v>
      </c>
      <c r="W27" t="e" cm="1">
        <f t="array" aca="1" ref="W27" ca="1">OFFSET(INDIRECT("Sheet"&amp;I$5&amp;"!d1"),I27-1,)</f>
        <v>#N/A</v>
      </c>
      <c r="X27" t="e" cm="1">
        <f t="array" aca="1" ref="X27" ca="1">OFFSET(INDIRECT("Sheet"&amp;J$5&amp;"!d1"),J27-1,)</f>
        <v>#N/A</v>
      </c>
      <c r="Y27" t="e" cm="1">
        <f t="array" aca="1" ref="Y27" ca="1">OFFSET(INDIRECT("Sheet"&amp;K$5&amp;"!d1"),K27-1,)</f>
        <v>#N/A</v>
      </c>
      <c r="Z27" cm="1">
        <f t="array" aca="1" ref="Z27" ca="1">OFFSET(INDIRECT("Sheet"&amp;L$5&amp;"!d1"),L27-1,)</f>
        <v>10</v>
      </c>
      <c r="AA27" cm="1">
        <f t="array" aca="1" ref="AA27" ca="1">OFFSET(INDIRECT("Sheet"&amp;M$5&amp;"!d1"),M27-1,)</f>
        <v>10</v>
      </c>
      <c r="AB27" cm="1">
        <f t="array" aca="1" ref="AB27" ca="1">OFFSET(INDIRECT("Sheet"&amp;N$5&amp;"!d1"),N27-1,)</f>
        <v>12</v>
      </c>
      <c r="AC27" cm="1">
        <f t="array" aca="1" ref="AC27" ca="1">OFFSET(INDIRECT("Sheet"&amp;O$5&amp;"!d1"),O27-1,)</f>
        <v>28</v>
      </c>
      <c r="AD27" cm="1">
        <f t="array" aca="1" ref="AD27" ca="1">OFFSET(INDIRECT("Sheet"&amp;P$5&amp;"!d1"),P27-1,)</f>
        <v>0</v>
      </c>
      <c r="AF27" s="2" cm="1">
        <f t="array" aca="1" ref="AF27" ca="1">OFFSET(INDIRECT("Sheet"&amp;D$5&amp;"!f1"),D27-1,)</f>
        <v>5.7799050249999997</v>
      </c>
      <c r="AG27" s="2" cm="1">
        <f t="array" aca="1" ref="AG27" ca="1">OFFSET(INDIRECT("Sheet"&amp;E$5&amp;"!f1"),E27-1,)</f>
        <v>49.371587312008998</v>
      </c>
      <c r="AH27" s="2" cm="1">
        <f t="array" aca="1" ref="AH27" ca="1">OFFSET(INDIRECT("Sheet"&amp;F$5&amp;"!f1"),F27-1,)</f>
        <v>9.8856310985866003E-2</v>
      </c>
      <c r="AI27" s="2" cm="1">
        <f t="array" aca="1" ref="AI27" ca="1">OFFSET(INDIRECT("Sheet"&amp;G$5&amp;"!f1"),G27-1,)</f>
        <v>2.09511816501617E-3</v>
      </c>
      <c r="AJ27" s="2" cm="1">
        <f t="array" aca="1" ref="AJ27" ca="1">OFFSET(INDIRECT("Sheet"&amp;H$5&amp;"!f1"),H27-1,)</f>
        <v>5.7791323820000002</v>
      </c>
      <c r="AK27" s="2" t="e" cm="1">
        <f t="array" aca="1" ref="AK27" ca="1">OFFSET(INDIRECT("Sheet"&amp;I$5&amp;"!f1"),I27-1,)</f>
        <v>#N/A</v>
      </c>
      <c r="AL27" s="2" t="e" cm="1">
        <f t="array" aca="1" ref="AL27" ca="1">OFFSET(INDIRECT("Sheet"&amp;J$5&amp;"!f1"),J27-1,)</f>
        <v>#N/A</v>
      </c>
      <c r="AM27" s="2" t="e" cm="1">
        <f t="array" aca="1" ref="AM27" ca="1">OFFSET(INDIRECT("Sheet"&amp;K$5&amp;"!f1"),K27-1,)</f>
        <v>#N/A</v>
      </c>
      <c r="AN27" s="2" cm="1">
        <f t="array" aca="1" ref="AN27" ca="1">OFFSET(INDIRECT("Sheet"&amp;L$5&amp;"!f1"),L27-1,)</f>
        <v>5.8837907139999803</v>
      </c>
      <c r="AO27" s="2" cm="1">
        <f t="array" aca="1" ref="AO27" ca="1">OFFSET(INDIRECT("Sheet"&amp;M$5&amp;"!f1"),M27-1,)</f>
        <v>48.464804148010401</v>
      </c>
      <c r="AP27" s="2" cm="1">
        <f t="array" aca="1" ref="AP27" ca="1">OFFSET(INDIRECT("Sheet"&amp;N$5&amp;"!f1"),N27-1,)</f>
        <v>9.6737505999044501E-2</v>
      </c>
      <c r="AQ27" s="2" cm="1">
        <f t="array" aca="1" ref="AQ27" ca="1">OFFSET(INDIRECT("Sheet"&amp;O$5&amp;"!f1"),O27-1,)</f>
        <v>2.06924974918365E-3</v>
      </c>
      <c r="AR27" s="2" cm="1">
        <f t="array" aca="1" ref="AR27" ca="1">OFFSET(INDIRECT("Sheet"&amp;P$5&amp;"!f1"),P27-1,)</f>
        <v>6.5404099950683303E-4</v>
      </c>
    </row>
    <row r="28" spans="1:44" x14ac:dyDescent="0.2">
      <c r="A28">
        <v>18</v>
      </c>
      <c r="B28" t="s">
        <v>70</v>
      </c>
      <c r="C28">
        <v>6</v>
      </c>
      <c r="D28">
        <f t="shared" ca="1" si="3"/>
        <v>36</v>
      </c>
      <c r="E28">
        <f t="shared" ca="1" si="3"/>
        <v>36</v>
      </c>
      <c r="F28">
        <f t="shared" ca="1" si="3"/>
        <v>36</v>
      </c>
      <c r="G28">
        <f t="shared" ca="1" si="3"/>
        <v>36</v>
      </c>
      <c r="H28">
        <f t="shared" ca="1" si="3"/>
        <v>36</v>
      </c>
      <c r="I28" t="e">
        <f t="shared" ca="1" si="3"/>
        <v>#N/A</v>
      </c>
      <c r="J28" t="e">
        <f t="shared" ca="1" si="3"/>
        <v>#N/A</v>
      </c>
      <c r="K28" t="e">
        <f t="shared" ca="1" si="3"/>
        <v>#N/A</v>
      </c>
      <c r="L28">
        <f t="shared" ca="1" si="3"/>
        <v>36</v>
      </c>
      <c r="M28">
        <f t="shared" ca="1" si="3"/>
        <v>36</v>
      </c>
      <c r="N28">
        <f t="shared" ca="1" si="3"/>
        <v>36</v>
      </c>
      <c r="O28">
        <f t="shared" ca="1" si="3"/>
        <v>36</v>
      </c>
      <c r="P28">
        <f t="shared" ca="1" si="4"/>
        <v>36</v>
      </c>
      <c r="R28" cm="1">
        <f t="array" aca="1" ref="R28" ca="1">OFFSET(INDIRECT("Sheet"&amp;D$5&amp;"!d1"),D28-1,)</f>
        <v>11</v>
      </c>
      <c r="S28" cm="1">
        <f t="array" aca="1" ref="S28" ca="1">OFFSET(INDIRECT("Sheet"&amp;E$5&amp;"!d1"),E28-1,)</f>
        <v>11</v>
      </c>
      <c r="T28" cm="1">
        <f t="array" aca="1" ref="T28" ca="1">OFFSET(INDIRECT("Sheet"&amp;F$5&amp;"!d1"),F28-1,)</f>
        <v>11</v>
      </c>
      <c r="U28" cm="1">
        <f t="array" aca="1" ref="U28" ca="1">OFFSET(INDIRECT("Sheet"&amp;G$5&amp;"!d1"),G28-1,)</f>
        <v>30</v>
      </c>
      <c r="V28" cm="1">
        <f t="array" aca="1" ref="V28" ca="1">OFFSET(INDIRECT("Sheet"&amp;H$5&amp;"!d1"),H28-1,)</f>
        <v>11</v>
      </c>
      <c r="W28" t="e" cm="1">
        <f t="array" aca="1" ref="W28" ca="1">OFFSET(INDIRECT("Sheet"&amp;I$5&amp;"!d1"),I28-1,)</f>
        <v>#N/A</v>
      </c>
      <c r="X28" t="e" cm="1">
        <f t="array" aca="1" ref="X28" ca="1">OFFSET(INDIRECT("Sheet"&amp;J$5&amp;"!d1"),J28-1,)</f>
        <v>#N/A</v>
      </c>
      <c r="Y28" t="e" cm="1">
        <f t="array" aca="1" ref="Y28" ca="1">OFFSET(INDIRECT("Sheet"&amp;K$5&amp;"!d1"),K28-1,)</f>
        <v>#N/A</v>
      </c>
      <c r="Z28" cm="1">
        <f t="array" aca="1" ref="Z28" ca="1">OFFSET(INDIRECT("Sheet"&amp;L$5&amp;"!d1"),L28-1,)</f>
        <v>11</v>
      </c>
      <c r="AA28" cm="1">
        <f t="array" aca="1" ref="AA28" ca="1">OFFSET(INDIRECT("Sheet"&amp;M$5&amp;"!d1"),M28-1,)</f>
        <v>11</v>
      </c>
      <c r="AB28" cm="1">
        <f t="array" aca="1" ref="AB28" ca="1">OFFSET(INDIRECT("Sheet"&amp;N$5&amp;"!d1"),N28-1,)</f>
        <v>11</v>
      </c>
      <c r="AC28" cm="1">
        <f t="array" aca="1" ref="AC28" ca="1">OFFSET(INDIRECT("Sheet"&amp;O$5&amp;"!d1"),O28-1,)</f>
        <v>30</v>
      </c>
      <c r="AD28" cm="1">
        <f t="array" aca="1" ref="AD28" ca="1">OFFSET(INDIRECT("Sheet"&amp;P$5&amp;"!d1"),P28-1,)</f>
        <v>0</v>
      </c>
      <c r="AF28" s="2" cm="1">
        <f t="array" aca="1" ref="AF28" ca="1">OFFSET(INDIRECT("Sheet"&amp;D$5&amp;"!f1"),D28-1,)</f>
        <v>6.6222814109999799</v>
      </c>
      <c r="AG28" s="2" cm="1">
        <f t="array" aca="1" ref="AG28" ca="1">OFFSET(INDIRECT("Sheet"&amp;E$5&amp;"!f1"),E28-1,)</f>
        <v>59.4019780160015</v>
      </c>
      <c r="AH28" s="2" cm="1">
        <f t="array" aca="1" ref="AH28" ca="1">OFFSET(INDIRECT("Sheet"&amp;F$5&amp;"!f1"),F28-1,)</f>
        <v>7.7395749001880093E-2</v>
      </c>
      <c r="AI28" s="2" cm="1">
        <f t="array" aca="1" ref="AI28" ca="1">OFFSET(INDIRECT("Sheet"&amp;G$5&amp;"!f1"),G28-1,)</f>
        <v>2.2264197468757599E-3</v>
      </c>
      <c r="AJ28" s="2" cm="1">
        <f t="array" aca="1" ref="AJ28" ca="1">OFFSET(INDIRECT("Sheet"&amp;H$5&amp;"!f1"),H28-1,)</f>
        <v>6.6151020070000097</v>
      </c>
      <c r="AK28" s="2" t="e" cm="1">
        <f t="array" aca="1" ref="AK28" ca="1">OFFSET(INDIRECT("Sheet"&amp;I$5&amp;"!f1"),I28-1,)</f>
        <v>#N/A</v>
      </c>
      <c r="AL28" s="2" t="e" cm="1">
        <f t="array" aca="1" ref="AL28" ca="1">OFFSET(INDIRECT("Sheet"&amp;J$5&amp;"!f1"),J28-1,)</f>
        <v>#N/A</v>
      </c>
      <c r="AM28" s="2" t="e" cm="1">
        <f t="array" aca="1" ref="AM28" ca="1">OFFSET(INDIRECT("Sheet"&amp;K$5&amp;"!f1"),K28-1,)</f>
        <v>#N/A</v>
      </c>
      <c r="AN28" s="2" cm="1">
        <f t="array" aca="1" ref="AN28" ca="1">OFFSET(INDIRECT("Sheet"&amp;L$5&amp;"!f1"),L28-1,)</f>
        <v>6.7998741359999997</v>
      </c>
      <c r="AO28" s="2" cm="1">
        <f t="array" aca="1" ref="AO28" ca="1">OFFSET(INDIRECT("Sheet"&amp;M$5&amp;"!f1"),M28-1,)</f>
        <v>58.128872372995801</v>
      </c>
      <c r="AP28" s="2" cm="1">
        <f t="array" aca="1" ref="AP28" ca="1">OFFSET(INDIRECT("Sheet"&amp;N$5&amp;"!f1"),N28-1,)</f>
        <v>7.6747715007513706E-2</v>
      </c>
      <c r="AQ28" s="2" cm="1">
        <f t="array" aca="1" ref="AQ28" ca="1">OFFSET(INDIRECT("Sheet"&amp;O$5&amp;"!f1"),O28-1,)</f>
        <v>2.20866501331329E-3</v>
      </c>
      <c r="AR28" s="2" cm="1">
        <f t="array" aca="1" ref="AR28" ca="1">OFFSET(INDIRECT("Sheet"&amp;P$5&amp;"!f1"),P28-1,)</f>
        <v>6.9791699934285102E-4</v>
      </c>
    </row>
    <row r="29" spans="1:44" s="3" customFormat="1" x14ac:dyDescent="0.2">
      <c r="A29" s="3">
        <v>19</v>
      </c>
      <c r="B29" s="3" t="s">
        <v>66</v>
      </c>
      <c r="C29" s="3">
        <v>6</v>
      </c>
      <c r="D29" s="3">
        <f t="shared" ca="1" si="3"/>
        <v>37</v>
      </c>
      <c r="E29" s="3">
        <f t="shared" ca="1" si="3"/>
        <v>37</v>
      </c>
      <c r="F29" s="3">
        <f t="shared" ca="1" si="3"/>
        <v>37</v>
      </c>
      <c r="G29" s="3">
        <f t="shared" ca="1" si="3"/>
        <v>37</v>
      </c>
      <c r="H29" s="3">
        <f t="shared" ca="1" si="3"/>
        <v>37</v>
      </c>
      <c r="I29" s="3" t="e">
        <f t="shared" ca="1" si="3"/>
        <v>#N/A</v>
      </c>
      <c r="J29" s="3" t="e">
        <f t="shared" ca="1" si="3"/>
        <v>#N/A</v>
      </c>
      <c r="K29" s="3" t="e">
        <f t="shared" ca="1" si="3"/>
        <v>#N/A</v>
      </c>
      <c r="L29" s="3">
        <f t="shared" ca="1" si="3"/>
        <v>37</v>
      </c>
      <c r="M29" s="3">
        <f t="shared" ca="1" si="3"/>
        <v>37</v>
      </c>
      <c r="N29" s="3">
        <f t="shared" ca="1" si="3"/>
        <v>37</v>
      </c>
      <c r="O29" s="3">
        <f t="shared" ca="1" si="3"/>
        <v>37</v>
      </c>
      <c r="P29" s="3">
        <f t="shared" ca="1" si="4"/>
        <v>37</v>
      </c>
      <c r="R29" s="3" cm="1">
        <f t="array" aca="1" ref="R29" ca="1">OFFSET(INDIRECT("Sheet"&amp;D$5&amp;"!d1"),D29-1,)</f>
        <v>10</v>
      </c>
      <c r="S29" s="3" cm="1">
        <f t="array" aca="1" ref="S29" ca="1">OFFSET(INDIRECT("Sheet"&amp;E$5&amp;"!d1"),E29-1,)</f>
        <v>10</v>
      </c>
      <c r="T29" s="3" cm="1">
        <f t="array" aca="1" ref="T29" ca="1">OFFSET(INDIRECT("Sheet"&amp;F$5&amp;"!d1"),F29-1,)</f>
        <v>10</v>
      </c>
      <c r="U29" s="3" cm="1">
        <f t="array" aca="1" ref="U29" ca="1">OFFSET(INDIRECT("Sheet"&amp;G$5&amp;"!d1"),G29-1,)</f>
        <v>21</v>
      </c>
      <c r="V29" s="3" cm="1">
        <f t="array" aca="1" ref="V29" ca="1">OFFSET(INDIRECT("Sheet"&amp;H$5&amp;"!d1"),H29-1,)</f>
        <v>10</v>
      </c>
      <c r="W29" s="3" t="e" cm="1">
        <f t="array" aca="1" ref="W29" ca="1">OFFSET(INDIRECT("Sheet"&amp;I$5&amp;"!d1"),I29-1,)</f>
        <v>#N/A</v>
      </c>
      <c r="X29" s="3" t="e" cm="1">
        <f t="array" aca="1" ref="X29" ca="1">OFFSET(INDIRECT("Sheet"&amp;J$5&amp;"!d1"),J29-1,)</f>
        <v>#N/A</v>
      </c>
      <c r="Y29" s="3" t="e" cm="1">
        <f t="array" aca="1" ref="Y29" ca="1">OFFSET(INDIRECT("Sheet"&amp;K$5&amp;"!d1"),K29-1,)</f>
        <v>#N/A</v>
      </c>
      <c r="Z29" s="3" cm="1">
        <f t="array" aca="1" ref="Z29" ca="1">OFFSET(INDIRECT("Sheet"&amp;L$5&amp;"!d1"),L29-1,)</f>
        <v>10</v>
      </c>
      <c r="AA29" s="3" cm="1">
        <f t="array" aca="1" ref="AA29" ca="1">OFFSET(INDIRECT("Sheet"&amp;M$5&amp;"!d1"),M29-1,)</f>
        <v>10</v>
      </c>
      <c r="AB29" s="3" cm="1">
        <f t="array" aca="1" ref="AB29" ca="1">OFFSET(INDIRECT("Sheet"&amp;N$5&amp;"!d1"),N29-1,)</f>
        <v>10</v>
      </c>
      <c r="AC29" s="3" cm="1">
        <f t="array" aca="1" ref="AC29" ca="1">OFFSET(INDIRECT("Sheet"&amp;O$5&amp;"!d1"),O29-1,)</f>
        <v>21</v>
      </c>
      <c r="AD29" s="3" cm="1">
        <f t="array" aca="1" ref="AD29" ca="1">OFFSET(INDIRECT("Sheet"&amp;P$5&amp;"!d1"),P29-1,)</f>
        <v>0</v>
      </c>
      <c r="AF29" s="4" cm="1">
        <f t="array" aca="1" ref="AF29" ca="1">OFFSET(INDIRECT("Sheet"&amp;D$5&amp;"!f1"),D29-1,)</f>
        <v>5.7888678099999904</v>
      </c>
      <c r="AG29" s="4" cm="1">
        <f t="array" aca="1" ref="AG29" ca="1">OFFSET(INDIRECT("Sheet"&amp;E$5&amp;"!f1"),E29-1,)</f>
        <v>50.3479393239977</v>
      </c>
      <c r="AH29" s="4" cm="1">
        <f t="array" aca="1" ref="AH29" ca="1">OFFSET(INDIRECT("Sheet"&amp;F$5&amp;"!f1"),F29-1,)</f>
        <v>7.6236627995967796E-2</v>
      </c>
      <c r="AI29" s="4" cm="1">
        <f t="array" aca="1" ref="AI29" ca="1">OFFSET(INDIRECT("Sheet"&amp;G$5&amp;"!f1"),G29-1,)</f>
        <v>2.0572543144226E-3</v>
      </c>
      <c r="AJ29" s="4" cm="1">
        <f t="array" aca="1" ref="AJ29" ca="1">OFFSET(INDIRECT("Sheet"&amp;H$5&amp;"!f1"),H29-1,)</f>
        <v>5.7754167139999799</v>
      </c>
      <c r="AK29" s="4" t="e" cm="1">
        <f t="array" aca="1" ref="AK29" ca="1">OFFSET(INDIRECT("Sheet"&amp;I$5&amp;"!f1"),I29-1,)</f>
        <v>#N/A</v>
      </c>
      <c r="AL29" s="4" t="e" cm="1">
        <f t="array" aca="1" ref="AL29" ca="1">OFFSET(INDIRECT("Sheet"&amp;J$5&amp;"!f1"),J29-1,)</f>
        <v>#N/A</v>
      </c>
      <c r="AM29" s="4" t="e" cm="1">
        <f t="array" aca="1" ref="AM29" ca="1">OFFSET(INDIRECT("Sheet"&amp;K$5&amp;"!f1"),K29-1,)</f>
        <v>#N/A</v>
      </c>
      <c r="AN29" s="4" cm="1">
        <f t="array" aca="1" ref="AN29" ca="1">OFFSET(INDIRECT("Sheet"&amp;L$5&amp;"!f1"),L29-1,)</f>
        <v>5.8766580580000003</v>
      </c>
      <c r="AO29" s="4" cm="1">
        <f t="array" aca="1" ref="AO29" ca="1">OFFSET(INDIRECT("Sheet"&amp;M$5&amp;"!f1"),M29-1,)</f>
        <v>49.511999939000802</v>
      </c>
      <c r="AP29" s="4" cm="1">
        <f t="array" aca="1" ref="AP29" ca="1">OFFSET(INDIRECT("Sheet"&amp;N$5&amp;"!f1"),N29-1,)</f>
        <v>7.4906858993927003E-2</v>
      </c>
      <c r="AQ29" s="4" cm="1">
        <f t="array" aca="1" ref="AQ29" ca="1">OFFSET(INDIRECT("Sheet"&amp;O$5&amp;"!f1"),O29-1,)</f>
        <v>2.0149797201156599E-3</v>
      </c>
      <c r="AR29" s="4" cm="1">
        <f t="array" aca="1" ref="AR29" ca="1">OFFSET(INDIRECT("Sheet"&amp;P$5&amp;"!f1"),P29-1,)</f>
        <v>6.5674999859766103E-4</v>
      </c>
    </row>
    <row r="30" spans="1:44" x14ac:dyDescent="0.2">
      <c r="A30">
        <v>20</v>
      </c>
      <c r="B30" t="s">
        <v>68</v>
      </c>
      <c r="C30">
        <v>6</v>
      </c>
      <c r="D30">
        <f t="shared" ca="1" si="3"/>
        <v>38</v>
      </c>
      <c r="E30">
        <f t="shared" ca="1" si="3"/>
        <v>38</v>
      </c>
      <c r="F30">
        <f t="shared" ca="1" si="3"/>
        <v>38</v>
      </c>
      <c r="G30">
        <f t="shared" ca="1" si="3"/>
        <v>38</v>
      </c>
      <c r="H30">
        <f t="shared" ca="1" si="3"/>
        <v>38</v>
      </c>
      <c r="I30" t="e">
        <f t="shared" ca="1" si="3"/>
        <v>#N/A</v>
      </c>
      <c r="J30" t="e">
        <f t="shared" ca="1" si="3"/>
        <v>#N/A</v>
      </c>
      <c r="K30" t="e">
        <f t="shared" ca="1" si="3"/>
        <v>#N/A</v>
      </c>
      <c r="L30">
        <f t="shared" ca="1" si="3"/>
        <v>38</v>
      </c>
      <c r="M30">
        <f t="shared" ca="1" si="3"/>
        <v>38</v>
      </c>
      <c r="N30">
        <f t="shared" ca="1" si="3"/>
        <v>38</v>
      </c>
      <c r="O30">
        <f t="shared" ca="1" si="3"/>
        <v>38</v>
      </c>
      <c r="P30">
        <f t="shared" ca="1" si="4"/>
        <v>38</v>
      </c>
      <c r="R30" cm="1">
        <f t="array" aca="1" ref="R30" ca="1">OFFSET(INDIRECT("Sheet"&amp;D$5&amp;"!d1"),D30-1,)</f>
        <v>11</v>
      </c>
      <c r="S30" cm="1">
        <f t="array" aca="1" ref="S30" ca="1">OFFSET(INDIRECT("Sheet"&amp;E$5&amp;"!d1"),E30-1,)</f>
        <v>11</v>
      </c>
      <c r="T30" cm="1">
        <f t="array" aca="1" ref="T30" ca="1">OFFSET(INDIRECT("Sheet"&amp;F$5&amp;"!d1"),F30-1,)</f>
        <v>11</v>
      </c>
      <c r="U30" cm="1">
        <f t="array" aca="1" ref="U30" ca="1">OFFSET(INDIRECT("Sheet"&amp;G$5&amp;"!d1"),G30-1,)</f>
        <v>28</v>
      </c>
      <c r="V30" cm="1">
        <f t="array" aca="1" ref="V30" ca="1">OFFSET(INDIRECT("Sheet"&amp;H$5&amp;"!d1"),H30-1,)</f>
        <v>11</v>
      </c>
      <c r="W30" t="e" cm="1">
        <f t="array" aca="1" ref="W30" ca="1">OFFSET(INDIRECT("Sheet"&amp;I$5&amp;"!d1"),I30-1,)</f>
        <v>#N/A</v>
      </c>
      <c r="X30" t="e" cm="1">
        <f t="array" aca="1" ref="X30" ca="1">OFFSET(INDIRECT("Sheet"&amp;J$5&amp;"!d1"),J30-1,)</f>
        <v>#N/A</v>
      </c>
      <c r="Y30" t="e" cm="1">
        <f t="array" aca="1" ref="Y30" ca="1">OFFSET(INDIRECT("Sheet"&amp;K$5&amp;"!d1"),K30-1,)</f>
        <v>#N/A</v>
      </c>
      <c r="Z30" cm="1">
        <f t="array" aca="1" ref="Z30" ca="1">OFFSET(INDIRECT("Sheet"&amp;L$5&amp;"!d1"),L30-1,)</f>
        <v>11</v>
      </c>
      <c r="AA30" cm="1">
        <f t="array" aca="1" ref="AA30" ca="1">OFFSET(INDIRECT("Sheet"&amp;M$5&amp;"!d1"),M30-1,)</f>
        <v>11</v>
      </c>
      <c r="AB30" cm="1">
        <f t="array" aca="1" ref="AB30" ca="1">OFFSET(INDIRECT("Sheet"&amp;N$5&amp;"!d1"),N30-1,)</f>
        <v>11</v>
      </c>
      <c r="AC30" cm="1">
        <f t="array" aca="1" ref="AC30" ca="1">OFFSET(INDIRECT("Sheet"&amp;O$5&amp;"!d1"),O30-1,)</f>
        <v>28</v>
      </c>
      <c r="AD30" cm="1">
        <f t="array" aca="1" ref="AD30" ca="1">OFFSET(INDIRECT("Sheet"&amp;P$5&amp;"!d1"),P30-1,)</f>
        <v>0</v>
      </c>
      <c r="AF30" s="2" cm="1">
        <f t="array" aca="1" ref="AF30" ca="1">OFFSET(INDIRECT("Sheet"&amp;D$5&amp;"!f1"),D30-1,)</f>
        <v>6.8123189450000101</v>
      </c>
      <c r="AG30" s="2" cm="1">
        <f t="array" aca="1" ref="AG30" ca="1">OFFSET(INDIRECT("Sheet"&amp;E$5&amp;"!f1"),E30-1,)</f>
        <v>59.577743876987299</v>
      </c>
      <c r="AH30" s="2" cm="1">
        <f t="array" aca="1" ref="AH30" ca="1">OFFSET(INDIRECT("Sheet"&amp;F$5&amp;"!f1"),F30-1,)</f>
        <v>8.4014046995434896E-2</v>
      </c>
      <c r="AI30" s="2" cm="1">
        <f t="array" aca="1" ref="AI30" ca="1">OFFSET(INDIRECT("Sheet"&amp;G$5&amp;"!f1"),G30-1,)</f>
        <v>2.10433453321456E-3</v>
      </c>
      <c r="AJ30" s="2" cm="1">
        <f t="array" aca="1" ref="AJ30" ca="1">OFFSET(INDIRECT("Sheet"&amp;H$5&amp;"!f1"),H30-1,)</f>
        <v>6.7793011969999899</v>
      </c>
      <c r="AK30" s="2" t="e" cm="1">
        <f t="array" aca="1" ref="AK30" ca="1">OFFSET(INDIRECT("Sheet"&amp;I$5&amp;"!f1"),I30-1,)</f>
        <v>#N/A</v>
      </c>
      <c r="AL30" s="2" t="e" cm="1">
        <f t="array" aca="1" ref="AL30" ca="1">OFFSET(INDIRECT("Sheet"&amp;J$5&amp;"!f1"),J30-1,)</f>
        <v>#N/A</v>
      </c>
      <c r="AM30" s="2" t="e" cm="1">
        <f t="array" aca="1" ref="AM30" ca="1">OFFSET(INDIRECT("Sheet"&amp;K$5&amp;"!f1"),K30-1,)</f>
        <v>#N/A</v>
      </c>
      <c r="AN30" s="2" cm="1">
        <f t="array" aca="1" ref="AN30" ca="1">OFFSET(INDIRECT("Sheet"&amp;L$5&amp;"!f1"),L30-1,)</f>
        <v>6.9526120599999999</v>
      </c>
      <c r="AO30" s="2" cm="1">
        <f t="array" aca="1" ref="AO30" ca="1">OFFSET(INDIRECT("Sheet"&amp;M$5&amp;"!f1"),M30-1,)</f>
        <v>58.569808012994997</v>
      </c>
      <c r="AP30" s="2" cm="1">
        <f t="array" aca="1" ref="AP30" ca="1">OFFSET(INDIRECT("Sheet"&amp;N$5&amp;"!f1"),N30-1,)</f>
        <v>8.3335506002185797E-2</v>
      </c>
      <c r="AQ30" s="2" cm="1">
        <f t="array" aca="1" ref="AQ30" ca="1">OFFSET(INDIRECT("Sheet"&amp;O$5&amp;"!f1"),O30-1,)</f>
        <v>2.0619928836822501E-3</v>
      </c>
      <c r="AR30" s="2" cm="1">
        <f t="array" aca="1" ref="AR30" ca="1">OFFSET(INDIRECT("Sheet"&amp;P$5&amp;"!f1"),P30-1,)</f>
        <v>7.1729200135450799E-4</v>
      </c>
    </row>
    <row r="31" spans="1:44" x14ac:dyDescent="0.2">
      <c r="A31">
        <v>21</v>
      </c>
      <c r="B31" t="s">
        <v>78</v>
      </c>
      <c r="C31">
        <v>7</v>
      </c>
      <c r="D31">
        <f t="shared" ca="1" si="3"/>
        <v>39</v>
      </c>
      <c r="E31">
        <f t="shared" ca="1" si="3"/>
        <v>39</v>
      </c>
      <c r="F31">
        <f t="shared" ca="1" si="3"/>
        <v>39</v>
      </c>
      <c r="G31">
        <f t="shared" ca="1" si="3"/>
        <v>39</v>
      </c>
      <c r="H31">
        <f t="shared" ca="1" si="3"/>
        <v>39</v>
      </c>
      <c r="I31" t="e">
        <f t="shared" ca="1" si="3"/>
        <v>#N/A</v>
      </c>
      <c r="J31" t="e">
        <f t="shared" ca="1" si="3"/>
        <v>#N/A</v>
      </c>
      <c r="K31" t="e">
        <f t="shared" ca="1" si="3"/>
        <v>#N/A</v>
      </c>
      <c r="L31">
        <f t="shared" ca="1" si="3"/>
        <v>39</v>
      </c>
      <c r="M31">
        <f t="shared" ca="1" si="3"/>
        <v>39</v>
      </c>
      <c r="N31">
        <f t="shared" ca="1" si="3"/>
        <v>39</v>
      </c>
      <c r="O31">
        <f t="shared" ca="1" si="3"/>
        <v>39</v>
      </c>
      <c r="P31">
        <f t="shared" ca="1" si="4"/>
        <v>39</v>
      </c>
      <c r="R31" cm="1">
        <f t="array" aca="1" ref="R31" ca="1">OFFSET(INDIRECT("Sheet"&amp;D$5&amp;"!d1"),D31-1,)</f>
        <v>15</v>
      </c>
      <c r="S31" cm="1">
        <f t="array" aca="1" ref="S31" ca="1">OFFSET(INDIRECT("Sheet"&amp;E$5&amp;"!d1"),E31-1,)</f>
        <v>14</v>
      </c>
      <c r="T31" cm="1">
        <f t="array" aca="1" ref="T31" ca="1">OFFSET(INDIRECT("Sheet"&amp;F$5&amp;"!d1"),F31-1,)</f>
        <v>16</v>
      </c>
      <c r="U31" cm="1">
        <f t="array" aca="1" ref="U31" ca="1">OFFSET(INDIRECT("Sheet"&amp;G$5&amp;"!d1"),G31-1,)</f>
        <v>39</v>
      </c>
      <c r="V31" cm="1">
        <f t="array" aca="1" ref="V31" ca="1">OFFSET(INDIRECT("Sheet"&amp;H$5&amp;"!d1"),H31-1,)</f>
        <v>15</v>
      </c>
      <c r="W31" t="e" cm="1">
        <f t="array" aca="1" ref="W31" ca="1">OFFSET(INDIRECT("Sheet"&amp;I$5&amp;"!d1"),I31-1,)</f>
        <v>#N/A</v>
      </c>
      <c r="X31" t="e" cm="1">
        <f t="array" aca="1" ref="X31" ca="1">OFFSET(INDIRECT("Sheet"&amp;J$5&amp;"!d1"),J31-1,)</f>
        <v>#N/A</v>
      </c>
      <c r="Y31" t="e" cm="1">
        <f t="array" aca="1" ref="Y31" ca="1">OFFSET(INDIRECT("Sheet"&amp;K$5&amp;"!d1"),K31-1,)</f>
        <v>#N/A</v>
      </c>
      <c r="Z31" cm="1">
        <f t="array" aca="1" ref="Z31" ca="1">OFFSET(INDIRECT("Sheet"&amp;L$5&amp;"!d1"),L31-1,)</f>
        <v>15</v>
      </c>
      <c r="AA31" cm="1">
        <f t="array" aca="1" ref="AA31" ca="1">OFFSET(INDIRECT("Sheet"&amp;M$5&amp;"!d1"),M31-1,)</f>
        <v>14</v>
      </c>
      <c r="AB31" cm="1">
        <f t="array" aca="1" ref="AB31" ca="1">OFFSET(INDIRECT("Sheet"&amp;N$5&amp;"!d1"),N31-1,)</f>
        <v>16</v>
      </c>
      <c r="AC31" cm="1">
        <f t="array" aca="1" ref="AC31" ca="1">OFFSET(INDIRECT("Sheet"&amp;O$5&amp;"!d1"),O31-1,)</f>
        <v>39</v>
      </c>
      <c r="AD31" cm="1">
        <f t="array" aca="1" ref="AD31" ca="1">OFFSET(INDIRECT("Sheet"&amp;P$5&amp;"!d1"),P31-1,)</f>
        <v>0</v>
      </c>
      <c r="AF31" s="2" cm="1">
        <f t="array" aca="1" ref="AF31" ca="1">OFFSET(INDIRECT("Sheet"&amp;D$5&amp;"!f1"),D31-1,)</f>
        <v>14.010082103999901</v>
      </c>
      <c r="AG31" s="2" cm="1">
        <f t="array" aca="1" ref="AG31" ca="1">OFFSET(INDIRECT("Sheet"&amp;E$5&amp;"!f1"),E31-1,)</f>
        <v>122.589099933989</v>
      </c>
      <c r="AH31" s="2" cm="1">
        <f t="array" aca="1" ref="AH31" ca="1">OFFSET(INDIRECT("Sheet"&amp;F$5&amp;"!f1"),F31-1,)</f>
        <v>0.16320194199215601</v>
      </c>
      <c r="AI31" s="2" cm="1">
        <f t="array" aca="1" ref="AI31" ca="1">OFFSET(INDIRECT("Sheet"&amp;G$5&amp;"!f1"),G31-1,)</f>
        <v>2.5479793548583902E-3</v>
      </c>
      <c r="AJ31" s="2" cm="1">
        <f t="array" aca="1" ref="AJ31" ca="1">OFFSET(INDIRECT("Sheet"&amp;H$5&amp;"!f1"),H31-1,)</f>
        <v>13.895207448000001</v>
      </c>
      <c r="AK31" s="2" t="e" cm="1">
        <f t="array" aca="1" ref="AK31" ca="1">OFFSET(INDIRECT("Sheet"&amp;I$5&amp;"!f1"),I31-1,)</f>
        <v>#N/A</v>
      </c>
      <c r="AL31" s="2" t="e" cm="1">
        <f t="array" aca="1" ref="AL31" ca="1">OFFSET(INDIRECT("Sheet"&amp;J$5&amp;"!f1"),J31-1,)</f>
        <v>#N/A</v>
      </c>
      <c r="AM31" s="2" t="e" cm="1">
        <f t="array" aca="1" ref="AM31" ca="1">OFFSET(INDIRECT("Sheet"&amp;K$5&amp;"!f1"),K31-1,)</f>
        <v>#N/A</v>
      </c>
      <c r="AN31" s="2" cm="1">
        <f t="array" aca="1" ref="AN31" ca="1">OFFSET(INDIRECT("Sheet"&amp;L$5&amp;"!f1"),L31-1,)</f>
        <v>14.261532551</v>
      </c>
      <c r="AO31" s="2" cm="1">
        <f t="array" aca="1" ref="AO31" ca="1">OFFSET(INDIRECT("Sheet"&amp;M$5&amp;"!f1"),M31-1,)</f>
        <v>121.05312345699301</v>
      </c>
      <c r="AP31" s="2" cm="1">
        <f t="array" aca="1" ref="AP31" ca="1">OFFSET(INDIRECT("Sheet"&amp;N$5&amp;"!f1"),N31-1,)</f>
        <v>0.16160088199830999</v>
      </c>
      <c r="AQ31" s="2" cm="1">
        <f t="array" aca="1" ref="AQ31" ca="1">OFFSET(INDIRECT("Sheet"&amp;O$5&amp;"!f1"),O31-1,)</f>
        <v>2.44369357824325E-3</v>
      </c>
      <c r="AR31" s="2" cm="1">
        <f t="array" aca="1" ref="AR31" ca="1">OFFSET(INDIRECT("Sheet"&amp;P$5&amp;"!f1"),P31-1,)</f>
        <v>8.8974999744095796E-4</v>
      </c>
    </row>
    <row r="32" spans="1:44" x14ac:dyDescent="0.2">
      <c r="A32">
        <v>22</v>
      </c>
      <c r="B32" t="s">
        <v>80</v>
      </c>
      <c r="C32">
        <v>7</v>
      </c>
      <c r="D32">
        <f t="shared" ca="1" si="3"/>
        <v>40</v>
      </c>
      <c r="E32">
        <f t="shared" ca="1" si="3"/>
        <v>40</v>
      </c>
      <c r="F32">
        <f t="shared" ca="1" si="3"/>
        <v>40</v>
      </c>
      <c r="G32">
        <f t="shared" ca="1" si="3"/>
        <v>40</v>
      </c>
      <c r="H32">
        <f t="shared" ca="1" si="3"/>
        <v>40</v>
      </c>
      <c r="I32" t="e">
        <f t="shared" ca="1" si="3"/>
        <v>#N/A</v>
      </c>
      <c r="J32" t="e">
        <f t="shared" ca="1" si="3"/>
        <v>#N/A</v>
      </c>
      <c r="K32" t="e">
        <f t="shared" ca="1" si="3"/>
        <v>#N/A</v>
      </c>
      <c r="L32">
        <f t="shared" ca="1" si="3"/>
        <v>40</v>
      </c>
      <c r="M32">
        <f t="shared" ca="1" si="3"/>
        <v>40</v>
      </c>
      <c r="N32">
        <f t="shared" ca="1" si="3"/>
        <v>40</v>
      </c>
      <c r="O32">
        <f t="shared" ca="1" si="3"/>
        <v>40</v>
      </c>
      <c r="P32">
        <f t="shared" ca="1" si="4"/>
        <v>40</v>
      </c>
      <c r="R32" cm="1">
        <f t="array" aca="1" ref="R32" ca="1">OFFSET(INDIRECT("Sheet"&amp;D$5&amp;"!d1"),D32-1,)</f>
        <v>14</v>
      </c>
      <c r="S32" cm="1">
        <f t="array" aca="1" ref="S32" ca="1">OFFSET(INDIRECT("Sheet"&amp;E$5&amp;"!d1"),E32-1,)</f>
        <v>14</v>
      </c>
      <c r="T32" cm="1">
        <f t="array" aca="1" ref="T32" ca="1">OFFSET(INDIRECT("Sheet"&amp;F$5&amp;"!d1"),F32-1,)</f>
        <v>16</v>
      </c>
      <c r="U32" cm="1">
        <f t="array" aca="1" ref="U32" ca="1">OFFSET(INDIRECT("Sheet"&amp;G$5&amp;"!d1"),G32-1,)</f>
        <v>44</v>
      </c>
      <c r="V32" cm="1">
        <f t="array" aca="1" ref="V32" ca="1">OFFSET(INDIRECT("Sheet"&amp;H$5&amp;"!d1"),H32-1,)</f>
        <v>14</v>
      </c>
      <c r="W32" t="e" cm="1">
        <f t="array" aca="1" ref="W32" ca="1">OFFSET(INDIRECT("Sheet"&amp;I$5&amp;"!d1"),I32-1,)</f>
        <v>#N/A</v>
      </c>
      <c r="X32" t="e" cm="1">
        <f t="array" aca="1" ref="X32" ca="1">OFFSET(INDIRECT("Sheet"&amp;J$5&amp;"!d1"),J32-1,)</f>
        <v>#N/A</v>
      </c>
      <c r="Y32" t="e" cm="1">
        <f t="array" aca="1" ref="Y32" ca="1">OFFSET(INDIRECT("Sheet"&amp;K$5&amp;"!d1"),K32-1,)</f>
        <v>#N/A</v>
      </c>
      <c r="Z32" cm="1">
        <f t="array" aca="1" ref="Z32" ca="1">OFFSET(INDIRECT("Sheet"&amp;L$5&amp;"!d1"),L32-1,)</f>
        <v>14</v>
      </c>
      <c r="AA32" cm="1">
        <f t="array" aca="1" ref="AA32" ca="1">OFFSET(INDIRECT("Sheet"&amp;M$5&amp;"!d1"),M32-1,)</f>
        <v>14</v>
      </c>
      <c r="AB32" cm="1">
        <f t="array" aca="1" ref="AB32" ca="1">OFFSET(INDIRECT("Sheet"&amp;N$5&amp;"!d1"),N32-1,)</f>
        <v>16</v>
      </c>
      <c r="AC32" cm="1">
        <f t="array" aca="1" ref="AC32" ca="1">OFFSET(INDIRECT("Sheet"&amp;O$5&amp;"!d1"),O32-1,)</f>
        <v>44</v>
      </c>
      <c r="AD32" cm="1">
        <f t="array" aca="1" ref="AD32" ca="1">OFFSET(INDIRECT("Sheet"&amp;P$5&amp;"!d1"),P32-1,)</f>
        <v>0</v>
      </c>
      <c r="AF32" s="2" cm="1">
        <f t="array" aca="1" ref="AF32" ca="1">OFFSET(INDIRECT("Sheet"&amp;D$5&amp;"!f1"),D32-1,)</f>
        <v>13.5457929289999</v>
      </c>
      <c r="AG32" s="2" cm="1">
        <f t="array" aca="1" ref="AG32" ca="1">OFFSET(INDIRECT("Sheet"&amp;E$5&amp;"!f1"),E32-1,)</f>
        <v>123.81802658000301</v>
      </c>
      <c r="AH32" s="2" cm="1">
        <f t="array" aca="1" ref="AH32" ca="1">OFFSET(INDIRECT("Sheet"&amp;F$5&amp;"!f1"),F32-1,)</f>
        <v>0.16237427300075</v>
      </c>
      <c r="AI32" s="2" cm="1">
        <f t="array" aca="1" ref="AI32" ca="1">OFFSET(INDIRECT("Sheet"&amp;G$5&amp;"!f1"),G32-1,)</f>
        <v>2.6206821203231799E-3</v>
      </c>
      <c r="AJ32" s="2" cm="1">
        <f t="array" aca="1" ref="AJ32" ca="1">OFFSET(INDIRECT("Sheet"&amp;H$5&amp;"!f1"),H32-1,)</f>
        <v>13.456829076999901</v>
      </c>
      <c r="AK32" s="2" t="e" cm="1">
        <f t="array" aca="1" ref="AK32" ca="1">OFFSET(INDIRECT("Sheet"&amp;I$5&amp;"!f1"),I32-1,)</f>
        <v>#N/A</v>
      </c>
      <c r="AL32" s="2" t="e" cm="1">
        <f t="array" aca="1" ref="AL32" ca="1">OFFSET(INDIRECT("Sheet"&amp;J$5&amp;"!f1"),J32-1,)</f>
        <v>#N/A</v>
      </c>
      <c r="AM32" s="2" t="e" cm="1">
        <f t="array" aca="1" ref="AM32" ca="1">OFFSET(INDIRECT("Sheet"&amp;K$5&amp;"!f1"),K32-1,)</f>
        <v>#N/A</v>
      </c>
      <c r="AN32" s="2" cm="1">
        <f t="array" aca="1" ref="AN32" ca="1">OFFSET(INDIRECT("Sheet"&amp;L$5&amp;"!f1"),L32-1,)</f>
        <v>13.807307552999999</v>
      </c>
      <c r="AO32" s="2" cm="1">
        <f t="array" aca="1" ref="AO32" ca="1">OFFSET(INDIRECT("Sheet"&amp;M$5&amp;"!f1"),M32-1,)</f>
        <v>122.00171937400501</v>
      </c>
      <c r="AP32" s="2" cm="1">
        <f t="array" aca="1" ref="AP32" ca="1">OFFSET(INDIRECT("Sheet"&amp;N$5&amp;"!f1"),N32-1,)</f>
        <v>0.158681861008517</v>
      </c>
      <c r="AQ32" s="2" cm="1">
        <f t="array" aca="1" ref="AQ32" ca="1">OFFSET(INDIRECT("Sheet"&amp;O$5&amp;"!f1"),O32-1,)</f>
        <v>2.64126062393188E-3</v>
      </c>
      <c r="AR32" s="2" cm="1">
        <f t="array" aca="1" ref="AR32" ca="1">OFFSET(INDIRECT("Sheet"&amp;P$5&amp;"!f1"),P32-1,)</f>
        <v>8.0799999705050097E-4</v>
      </c>
    </row>
    <row r="33" spans="1:44" x14ac:dyDescent="0.2">
      <c r="A33">
        <v>23</v>
      </c>
      <c r="B33" t="s">
        <v>82</v>
      </c>
      <c r="C33">
        <v>7</v>
      </c>
      <c r="D33">
        <f t="shared" ca="1" si="3"/>
        <v>41</v>
      </c>
      <c r="E33">
        <f t="shared" ca="1" si="3"/>
        <v>41</v>
      </c>
      <c r="F33">
        <f t="shared" ca="1" si="3"/>
        <v>41</v>
      </c>
      <c r="G33">
        <f t="shared" ca="1" si="3"/>
        <v>41</v>
      </c>
      <c r="H33">
        <f t="shared" ca="1" si="3"/>
        <v>41</v>
      </c>
      <c r="I33" t="e">
        <f t="shared" ca="1" si="3"/>
        <v>#N/A</v>
      </c>
      <c r="J33" t="e">
        <f t="shared" ca="1" si="3"/>
        <v>#N/A</v>
      </c>
      <c r="K33" t="e">
        <f t="shared" ca="1" si="3"/>
        <v>#N/A</v>
      </c>
      <c r="L33">
        <f t="shared" ca="1" si="3"/>
        <v>41</v>
      </c>
      <c r="M33">
        <f t="shared" ca="1" si="3"/>
        <v>41</v>
      </c>
      <c r="N33">
        <f t="shared" ca="1" si="3"/>
        <v>41</v>
      </c>
      <c r="O33">
        <f t="shared" ca="1" si="3"/>
        <v>41</v>
      </c>
      <c r="P33">
        <f t="shared" ca="1" si="4"/>
        <v>41</v>
      </c>
      <c r="R33" cm="1">
        <f t="array" aca="1" ref="R33" ca="1">OFFSET(INDIRECT("Sheet"&amp;D$5&amp;"!d1"),D33-1,)</f>
        <v>14</v>
      </c>
      <c r="S33" cm="1">
        <f t="array" aca="1" ref="S33" ca="1">OFFSET(INDIRECT("Sheet"&amp;E$5&amp;"!d1"),E33-1,)</f>
        <v>14</v>
      </c>
      <c r="T33" cm="1">
        <f t="array" aca="1" ref="T33" ca="1">OFFSET(INDIRECT("Sheet"&amp;F$5&amp;"!d1"),F33-1,)</f>
        <v>17</v>
      </c>
      <c r="U33" cm="1">
        <f t="array" aca="1" ref="U33" ca="1">OFFSET(INDIRECT("Sheet"&amp;G$5&amp;"!d1"),G33-1,)</f>
        <v>42</v>
      </c>
      <c r="V33" cm="1">
        <f t="array" aca="1" ref="V33" ca="1">OFFSET(INDIRECT("Sheet"&amp;H$5&amp;"!d1"),H33-1,)</f>
        <v>14</v>
      </c>
      <c r="W33" t="e" cm="1">
        <f t="array" aca="1" ref="W33" ca="1">OFFSET(INDIRECT("Sheet"&amp;I$5&amp;"!d1"),I33-1,)</f>
        <v>#N/A</v>
      </c>
      <c r="X33" t="e" cm="1">
        <f t="array" aca="1" ref="X33" ca="1">OFFSET(INDIRECT("Sheet"&amp;J$5&amp;"!d1"),J33-1,)</f>
        <v>#N/A</v>
      </c>
      <c r="Y33" t="e" cm="1">
        <f t="array" aca="1" ref="Y33" ca="1">OFFSET(INDIRECT("Sheet"&amp;K$5&amp;"!d1"),K33-1,)</f>
        <v>#N/A</v>
      </c>
      <c r="Z33" cm="1">
        <f t="array" aca="1" ref="Z33" ca="1">OFFSET(INDIRECT("Sheet"&amp;L$5&amp;"!d1"),L33-1,)</f>
        <v>14</v>
      </c>
      <c r="AA33" cm="1">
        <f t="array" aca="1" ref="AA33" ca="1">OFFSET(INDIRECT("Sheet"&amp;M$5&amp;"!d1"),M33-1,)</f>
        <v>14</v>
      </c>
      <c r="AB33" cm="1">
        <f t="array" aca="1" ref="AB33" ca="1">OFFSET(INDIRECT("Sheet"&amp;N$5&amp;"!d1"),N33-1,)</f>
        <v>17</v>
      </c>
      <c r="AC33" cm="1">
        <f t="array" aca="1" ref="AC33" ca="1">OFFSET(INDIRECT("Sheet"&amp;O$5&amp;"!d1"),O33-1,)</f>
        <v>42</v>
      </c>
      <c r="AD33" cm="1">
        <f t="array" aca="1" ref="AD33" ca="1">OFFSET(INDIRECT("Sheet"&amp;P$5&amp;"!d1"),P33-1,)</f>
        <v>0</v>
      </c>
      <c r="AF33" s="2" cm="1">
        <f t="array" aca="1" ref="AF33" ca="1">OFFSET(INDIRECT("Sheet"&amp;D$5&amp;"!f1"),D33-1,)</f>
        <v>13.1911429529999</v>
      </c>
      <c r="AG33" s="2" cm="1">
        <f t="array" aca="1" ref="AG33" ca="1">OFFSET(INDIRECT("Sheet"&amp;E$5&amp;"!f1"),E33-1,)</f>
        <v>123.341171653999</v>
      </c>
      <c r="AH33" s="2" cm="1">
        <f t="array" aca="1" ref="AH33" ca="1">OFFSET(INDIRECT("Sheet"&amp;F$5&amp;"!f1"),F33-1,)</f>
        <v>0.17682188001344901</v>
      </c>
      <c r="AI33" s="2" cm="1">
        <f t="array" aca="1" ref="AI33" ca="1">OFFSET(INDIRECT("Sheet"&amp;G$5&amp;"!f1"),G33-1,)</f>
        <v>2.7382373809814401E-3</v>
      </c>
      <c r="AJ33" s="2" cm="1">
        <f t="array" aca="1" ref="AJ33" ca="1">OFFSET(INDIRECT("Sheet"&amp;H$5&amp;"!f1"),H33-1,)</f>
        <v>13.072849399000001</v>
      </c>
      <c r="AK33" s="2" t="e" cm="1">
        <f t="array" aca="1" ref="AK33" ca="1">OFFSET(INDIRECT("Sheet"&amp;I$5&amp;"!f1"),I33-1,)</f>
        <v>#N/A</v>
      </c>
      <c r="AL33" s="2" t="e" cm="1">
        <f t="array" aca="1" ref="AL33" ca="1">OFFSET(INDIRECT("Sheet"&amp;J$5&amp;"!f1"),J33-1,)</f>
        <v>#N/A</v>
      </c>
      <c r="AM33" s="2" t="e" cm="1">
        <f t="array" aca="1" ref="AM33" ca="1">OFFSET(INDIRECT("Sheet"&amp;K$5&amp;"!f1"),K33-1,)</f>
        <v>#N/A</v>
      </c>
      <c r="AN33" s="2" cm="1">
        <f t="array" aca="1" ref="AN33" ca="1">OFFSET(INDIRECT("Sheet"&amp;L$5&amp;"!f1"),L33-1,)</f>
        <v>13.475793205999899</v>
      </c>
      <c r="AO33" s="2" cm="1">
        <f t="array" aca="1" ref="AO33" ca="1">OFFSET(INDIRECT("Sheet"&amp;M$5&amp;"!f1"),M33-1,)</f>
        <v>121.51805140499999</v>
      </c>
      <c r="AP33" s="2" cm="1">
        <f t="array" aca="1" ref="AP33" ca="1">OFFSET(INDIRECT("Sheet"&amp;N$5&amp;"!f1"),N33-1,)</f>
        <v>0.173657271996489</v>
      </c>
      <c r="AQ33" s="2" cm="1">
        <f t="array" aca="1" ref="AQ33" ca="1">OFFSET(INDIRECT("Sheet"&amp;O$5&amp;"!f1"),O33-1,)</f>
        <v>2.6251673698425202E-3</v>
      </c>
      <c r="AR33" s="2" cm="1">
        <f t="array" aca="1" ref="AR33" ca="1">OFFSET(INDIRECT("Sheet"&amp;P$5&amp;"!f1"),P33-1,)</f>
        <v>1.45195799996145E-3</v>
      </c>
    </row>
    <row r="34" spans="1:44" x14ac:dyDescent="0.2">
      <c r="A34">
        <v>24</v>
      </c>
      <c r="B34" t="s">
        <v>74</v>
      </c>
      <c r="C34">
        <v>7</v>
      </c>
      <c r="D34">
        <f t="shared" ca="1" si="3"/>
        <v>42</v>
      </c>
      <c r="E34">
        <f t="shared" ca="1" si="3"/>
        <v>42</v>
      </c>
      <c r="F34">
        <f t="shared" ca="1" si="3"/>
        <v>42</v>
      </c>
      <c r="G34">
        <f t="shared" ca="1" si="3"/>
        <v>42</v>
      </c>
      <c r="H34">
        <f t="shared" ca="1" si="3"/>
        <v>42</v>
      </c>
      <c r="I34" t="e">
        <f t="shared" ca="1" si="3"/>
        <v>#N/A</v>
      </c>
      <c r="J34" t="e">
        <f t="shared" ca="1" si="3"/>
        <v>#N/A</v>
      </c>
      <c r="K34" t="e">
        <f t="shared" ca="1" si="3"/>
        <v>#N/A</v>
      </c>
      <c r="L34">
        <f t="shared" ca="1" si="3"/>
        <v>42</v>
      </c>
      <c r="M34">
        <f t="shared" ca="1" si="3"/>
        <v>42</v>
      </c>
      <c r="N34">
        <f t="shared" ca="1" si="3"/>
        <v>42</v>
      </c>
      <c r="O34">
        <f t="shared" ca="1" si="3"/>
        <v>42</v>
      </c>
      <c r="P34">
        <f t="shared" ca="1" si="4"/>
        <v>42</v>
      </c>
      <c r="R34" cm="1">
        <f t="array" aca="1" ref="R34" ca="1">OFFSET(INDIRECT("Sheet"&amp;D$5&amp;"!d1"),D34-1,)</f>
        <v>14</v>
      </c>
      <c r="S34" cm="1">
        <f t="array" aca="1" ref="S34" ca="1">OFFSET(INDIRECT("Sheet"&amp;E$5&amp;"!d1"),E34-1,)</f>
        <v>13</v>
      </c>
      <c r="T34" cm="1">
        <f t="array" aca="1" ref="T34" ca="1">OFFSET(INDIRECT("Sheet"&amp;F$5&amp;"!d1"),F34-1,)</f>
        <v>14</v>
      </c>
      <c r="U34" cm="1">
        <f t="array" aca="1" ref="U34" ca="1">OFFSET(INDIRECT("Sheet"&amp;G$5&amp;"!d1"),G34-1,)</f>
        <v>35</v>
      </c>
      <c r="V34" cm="1">
        <f t="array" aca="1" ref="V34" ca="1">OFFSET(INDIRECT("Sheet"&amp;H$5&amp;"!d1"),H34-1,)</f>
        <v>14</v>
      </c>
      <c r="W34" t="e" cm="1">
        <f t="array" aca="1" ref="W34" ca="1">OFFSET(INDIRECT("Sheet"&amp;I$5&amp;"!d1"),I34-1,)</f>
        <v>#N/A</v>
      </c>
      <c r="X34" t="e" cm="1">
        <f t="array" aca="1" ref="X34" ca="1">OFFSET(INDIRECT("Sheet"&amp;J$5&amp;"!d1"),J34-1,)</f>
        <v>#N/A</v>
      </c>
      <c r="Y34" t="e" cm="1">
        <f t="array" aca="1" ref="Y34" ca="1">OFFSET(INDIRECT("Sheet"&amp;K$5&amp;"!d1"),K34-1,)</f>
        <v>#N/A</v>
      </c>
      <c r="Z34" cm="1">
        <f t="array" aca="1" ref="Z34" ca="1">OFFSET(INDIRECT("Sheet"&amp;L$5&amp;"!d1"),L34-1,)</f>
        <v>14</v>
      </c>
      <c r="AA34" cm="1">
        <f t="array" aca="1" ref="AA34" ca="1">OFFSET(INDIRECT("Sheet"&amp;M$5&amp;"!d1"),M34-1,)</f>
        <v>13</v>
      </c>
      <c r="AB34" cm="1">
        <f t="array" aca="1" ref="AB34" ca="1">OFFSET(INDIRECT("Sheet"&amp;N$5&amp;"!d1"),N34-1,)</f>
        <v>14</v>
      </c>
      <c r="AC34" cm="1">
        <f t="array" aca="1" ref="AC34" ca="1">OFFSET(INDIRECT("Sheet"&amp;O$5&amp;"!d1"),O34-1,)</f>
        <v>35</v>
      </c>
      <c r="AD34" cm="1">
        <f t="array" aca="1" ref="AD34" ca="1">OFFSET(INDIRECT("Sheet"&amp;P$5&amp;"!d1"),P34-1,)</f>
        <v>0</v>
      </c>
      <c r="AF34" s="2" cm="1">
        <f t="array" aca="1" ref="AF34" ca="1">OFFSET(INDIRECT("Sheet"&amp;D$5&amp;"!f1"),D34-1,)</f>
        <v>12.694246738999899</v>
      </c>
      <c r="AG34" s="2" cm="1">
        <f t="array" aca="1" ref="AG34" ca="1">OFFSET(INDIRECT("Sheet"&amp;E$5&amp;"!f1"),E34-1,)</f>
        <v>108.927401395994</v>
      </c>
      <c r="AH34" s="2" cm="1">
        <f t="array" aca="1" ref="AH34" ca="1">OFFSET(INDIRECT("Sheet"&amp;F$5&amp;"!f1"),F34-1,)</f>
        <v>0.124018967995652</v>
      </c>
      <c r="AI34" s="2" cm="1">
        <f t="array" aca="1" ref="AI34" ca="1">OFFSET(INDIRECT("Sheet"&amp;G$5&amp;"!f1"),G34-1,)</f>
        <v>2.65335291624069E-3</v>
      </c>
      <c r="AJ34" s="2" cm="1">
        <f t="array" aca="1" ref="AJ34" ca="1">OFFSET(INDIRECT("Sheet"&amp;H$5&amp;"!f1"),H34-1,)</f>
        <v>12.562826211999999</v>
      </c>
      <c r="AK34" s="2" t="e" cm="1">
        <f t="array" aca="1" ref="AK34" ca="1">OFFSET(INDIRECT("Sheet"&amp;I$5&amp;"!f1"),I34-1,)</f>
        <v>#N/A</v>
      </c>
      <c r="AL34" s="2" t="e" cm="1">
        <f t="array" aca="1" ref="AL34" ca="1">OFFSET(INDIRECT("Sheet"&amp;J$5&amp;"!f1"),J34-1,)</f>
        <v>#N/A</v>
      </c>
      <c r="AM34" s="2" t="e" cm="1">
        <f t="array" aca="1" ref="AM34" ca="1">OFFSET(INDIRECT("Sheet"&amp;K$5&amp;"!f1"),K34-1,)</f>
        <v>#N/A</v>
      </c>
      <c r="AN34" s="2" cm="1">
        <f t="array" aca="1" ref="AN34" ca="1">OFFSET(INDIRECT("Sheet"&amp;L$5&amp;"!f1"),L34-1,)</f>
        <v>12.9684556949999</v>
      </c>
      <c r="AO34" s="2" cm="1">
        <f t="array" aca="1" ref="AO34" ca="1">OFFSET(INDIRECT("Sheet"&amp;M$5&amp;"!f1"),M34-1,)</f>
        <v>106.46446369099399</v>
      </c>
      <c r="AP34" s="2" cm="1">
        <f t="array" aca="1" ref="AP34" ca="1">OFFSET(INDIRECT("Sheet"&amp;N$5&amp;"!f1"),N34-1,)</f>
        <v>0.12209585699019899</v>
      </c>
      <c r="AQ34" s="2" cm="1">
        <f t="array" aca="1" ref="AQ34" ca="1">OFFSET(INDIRECT("Sheet"&amp;O$5&amp;"!f1"),O34-1,)</f>
        <v>2.5752335786819402E-3</v>
      </c>
      <c r="AR34" s="2" cm="1">
        <f t="array" aca="1" ref="AR34" ca="1">OFFSET(INDIRECT("Sheet"&amp;P$5&amp;"!f1"),P34-1,)</f>
        <v>8.7175000226125099E-4</v>
      </c>
    </row>
    <row r="35" spans="1:44" x14ac:dyDescent="0.2">
      <c r="A35">
        <v>25</v>
      </c>
      <c r="B35" t="s">
        <v>76</v>
      </c>
      <c r="C35">
        <v>7</v>
      </c>
      <c r="D35">
        <f t="shared" ca="1" si="3"/>
        <v>43</v>
      </c>
      <c r="E35">
        <f t="shared" ca="1" si="3"/>
        <v>43</v>
      </c>
      <c r="F35">
        <f t="shared" ca="1" si="3"/>
        <v>43</v>
      </c>
      <c r="G35">
        <f t="shared" ca="1" si="3"/>
        <v>43</v>
      </c>
      <c r="H35">
        <f t="shared" ca="1" si="3"/>
        <v>43</v>
      </c>
      <c r="I35" t="e">
        <f t="shared" ca="1" si="3"/>
        <v>#N/A</v>
      </c>
      <c r="J35" t="e">
        <f t="shared" ca="1" si="3"/>
        <v>#N/A</v>
      </c>
      <c r="K35" t="e">
        <f t="shared" ca="1" si="3"/>
        <v>#N/A</v>
      </c>
      <c r="L35">
        <f t="shared" ca="1" si="3"/>
        <v>43</v>
      </c>
      <c r="M35">
        <f t="shared" ref="M35:P35" ca="1" si="5">MATCH($A35,INDIRECT("Sheet"&amp;M$5&amp;"!a:a"),)</f>
        <v>43</v>
      </c>
      <c r="N35">
        <f t="shared" ca="1" si="5"/>
        <v>43</v>
      </c>
      <c r="O35">
        <f t="shared" ca="1" si="5"/>
        <v>43</v>
      </c>
      <c r="P35">
        <f t="shared" ca="1" si="5"/>
        <v>43</v>
      </c>
      <c r="R35" cm="1">
        <f t="array" aca="1" ref="R35" ca="1">OFFSET(INDIRECT("Sheet"&amp;D$5&amp;"!d1"),D35-1,)</f>
        <v>14</v>
      </c>
      <c r="S35" cm="1">
        <f t="array" aca="1" ref="S35" ca="1">OFFSET(INDIRECT("Sheet"&amp;E$5&amp;"!d1"),E35-1,)</f>
        <v>14</v>
      </c>
      <c r="T35" cm="1">
        <f t="array" aca="1" ref="T35" ca="1">OFFSET(INDIRECT("Sheet"&amp;F$5&amp;"!d1"),F35-1,)</f>
        <v>16</v>
      </c>
      <c r="U35" cm="1">
        <f t="array" aca="1" ref="U35" ca="1">OFFSET(INDIRECT("Sheet"&amp;G$5&amp;"!d1"),G35-1,)</f>
        <v>40</v>
      </c>
      <c r="V35" cm="1">
        <f t="array" aca="1" ref="V35" ca="1">OFFSET(INDIRECT("Sheet"&amp;H$5&amp;"!d1"),H35-1,)</f>
        <v>14</v>
      </c>
      <c r="W35" t="e" cm="1">
        <f t="array" aca="1" ref="W35" ca="1">OFFSET(INDIRECT("Sheet"&amp;I$5&amp;"!d1"),I35-1,)</f>
        <v>#N/A</v>
      </c>
      <c r="X35" t="e" cm="1">
        <f t="array" aca="1" ref="X35" ca="1">OFFSET(INDIRECT("Sheet"&amp;J$5&amp;"!d1"),J35-1,)</f>
        <v>#N/A</v>
      </c>
      <c r="Y35" t="e" cm="1">
        <f t="array" aca="1" ref="Y35" ca="1">OFFSET(INDIRECT("Sheet"&amp;K$5&amp;"!d1"),K35-1,)</f>
        <v>#N/A</v>
      </c>
      <c r="Z35" cm="1">
        <f t="array" aca="1" ref="Z35" ca="1">OFFSET(INDIRECT("Sheet"&amp;L$5&amp;"!d1"),L35-1,)</f>
        <v>14</v>
      </c>
      <c r="AA35" cm="1">
        <f t="array" aca="1" ref="AA35" ca="1">OFFSET(INDIRECT("Sheet"&amp;M$5&amp;"!d1"),M35-1,)</f>
        <v>14</v>
      </c>
      <c r="AB35" cm="1">
        <f t="array" aca="1" ref="AB35" ca="1">OFFSET(INDIRECT("Sheet"&amp;N$5&amp;"!d1"),N35-1,)</f>
        <v>16</v>
      </c>
      <c r="AC35" cm="1">
        <f t="array" aca="1" ref="AC35" ca="1">OFFSET(INDIRECT("Sheet"&amp;O$5&amp;"!d1"),O35-1,)</f>
        <v>40</v>
      </c>
      <c r="AD35" cm="1">
        <f t="array" aca="1" ref="AD35" ca="1">OFFSET(INDIRECT("Sheet"&amp;P$5&amp;"!d1"),P35-1,)</f>
        <v>0</v>
      </c>
      <c r="AF35" s="2" cm="1">
        <f t="array" aca="1" ref="AF35" ca="1">OFFSET(INDIRECT("Sheet"&amp;D$5&amp;"!f1"),D35-1,)</f>
        <v>12.4698795479999</v>
      </c>
      <c r="AG35" s="2" cm="1">
        <f t="array" aca="1" ref="AG35" ca="1">OFFSET(INDIRECT("Sheet"&amp;E$5&amp;"!f1"),E35-1,)</f>
        <v>118.106734895001</v>
      </c>
      <c r="AH35" s="2" cm="1">
        <f t="array" aca="1" ref="AH35" ca="1">OFFSET(INDIRECT("Sheet"&amp;F$5&amp;"!f1"),F35-1,)</f>
        <v>0.142709851003019</v>
      </c>
      <c r="AI35" s="2" cm="1">
        <f t="array" aca="1" ref="AI35" ca="1">OFFSET(INDIRECT("Sheet"&amp;G$5&amp;"!f1"),G35-1,)</f>
        <v>2.7687102556228599E-3</v>
      </c>
      <c r="AJ35" s="2" cm="1">
        <f t="array" aca="1" ref="AJ35" ca="1">OFFSET(INDIRECT("Sheet"&amp;H$5&amp;"!f1"),H35-1,)</f>
        <v>12.412974577999901</v>
      </c>
      <c r="AK35" s="2" t="e" cm="1">
        <f t="array" aca="1" ref="AK35" ca="1">OFFSET(INDIRECT("Sheet"&amp;I$5&amp;"!f1"),I35-1,)</f>
        <v>#N/A</v>
      </c>
      <c r="AL35" s="2" t="e" cm="1">
        <f t="array" aca="1" ref="AL35" ca="1">OFFSET(INDIRECT("Sheet"&amp;J$5&amp;"!f1"),J35-1,)</f>
        <v>#N/A</v>
      </c>
      <c r="AM35" s="2" t="e" cm="1">
        <f t="array" aca="1" ref="AM35" ca="1">OFFSET(INDIRECT("Sheet"&amp;K$5&amp;"!f1"),K35-1,)</f>
        <v>#N/A</v>
      </c>
      <c r="AN35" s="2" cm="1">
        <f t="array" aca="1" ref="AN35" ca="1">OFFSET(INDIRECT("Sheet"&amp;L$5&amp;"!f1"),L35-1,)</f>
        <v>12.626585557999899</v>
      </c>
      <c r="AO35" s="2" cm="1">
        <f t="array" aca="1" ref="AO35" ca="1">OFFSET(INDIRECT("Sheet"&amp;M$5&amp;"!f1"),M35-1,)</f>
        <v>116.688770006003</v>
      </c>
      <c r="AP35" s="2" cm="1">
        <f t="array" aca="1" ref="AP35" ca="1">OFFSET(INDIRECT("Sheet"&amp;N$5&amp;"!f1"),N35-1,)</f>
        <v>0.14013430499471699</v>
      </c>
      <c r="AQ35" s="2" cm="1">
        <f t="array" aca="1" ref="AQ35" ca="1">OFFSET(INDIRECT("Sheet"&amp;O$5&amp;"!f1"),O35-1,)</f>
        <v>2.6441588997840799E-3</v>
      </c>
      <c r="AR35" s="2" cm="1">
        <f t="array" aca="1" ref="AR35" ca="1">OFFSET(INDIRECT("Sheet"&amp;P$5&amp;"!f1"),P35-1,)</f>
        <v>8.7170800179592301E-4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EDDB-D7BC-CF42-8C17-742E28CA39F3}">
  <dimension ref="A1:H43"/>
  <sheetViews>
    <sheetView topLeftCell="A7" workbookViewId="0">
      <selection activeCell="C19" sqref="C19:C43"/>
    </sheetView>
  </sheetViews>
  <sheetFormatPr baseColWidth="10" defaultRowHeight="16" x14ac:dyDescent="0.2"/>
  <sheetData>
    <row r="1" spans="1:1" x14ac:dyDescent="0.2">
      <c r="A1" t="s">
        <v>179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223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224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0.36817837000000903</v>
      </c>
      <c r="G19" t="b">
        <v>1</v>
      </c>
      <c r="H19" t="s">
        <v>57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4.9601800000118601E-3</v>
      </c>
      <c r="G20" t="b">
        <v>1</v>
      </c>
      <c r="H20" t="s">
        <v>56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4.8348509999982499E-3</v>
      </c>
      <c r="G21" t="b">
        <v>1</v>
      </c>
      <c r="H21" t="s">
        <v>50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4.8701409999978296E-3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4.9422980000031203E-3</v>
      </c>
      <c r="G23" t="b">
        <v>1</v>
      </c>
      <c r="H23" t="s">
        <v>52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0.20923710900001399</v>
      </c>
      <c r="G24" t="b">
        <v>1</v>
      </c>
      <c r="H24" t="s">
        <v>55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5</v>
      </c>
      <c r="F25">
        <v>0.20583971799999201</v>
      </c>
      <c r="G25" t="b">
        <v>1</v>
      </c>
      <c r="H25" t="s">
        <v>54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8.7001260000079093E-3</v>
      </c>
      <c r="G26" t="b">
        <v>1</v>
      </c>
      <c r="H26" t="s">
        <v>51</v>
      </c>
    </row>
    <row r="27" spans="1:8" x14ac:dyDescent="0.2">
      <c r="A27">
        <v>9</v>
      </c>
      <c r="B27" t="s">
        <v>36</v>
      </c>
      <c r="C27">
        <v>4</v>
      </c>
      <c r="D27">
        <v>5</v>
      </c>
      <c r="E27">
        <v>5</v>
      </c>
      <c r="F27">
        <v>0.20000193800001301</v>
      </c>
      <c r="G27" t="b">
        <v>1</v>
      </c>
      <c r="H27" t="s">
        <v>53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0.218461461999993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5</v>
      </c>
      <c r="F29">
        <v>2.7661903259999798</v>
      </c>
      <c r="G29" t="b">
        <v>1</v>
      </c>
      <c r="H29" t="s">
        <v>225</v>
      </c>
    </row>
    <row r="30" spans="1:8" x14ac:dyDescent="0.2">
      <c r="A30">
        <v>12</v>
      </c>
      <c r="B30" t="s">
        <v>28</v>
      </c>
      <c r="C30">
        <v>5</v>
      </c>
      <c r="D30">
        <v>8</v>
      </c>
      <c r="E30">
        <v>5</v>
      </c>
      <c r="F30">
        <v>2.6938771800000101</v>
      </c>
      <c r="G30" t="b">
        <v>1</v>
      </c>
      <c r="H30" t="s">
        <v>226</v>
      </c>
    </row>
    <row r="31" spans="1:8" x14ac:dyDescent="0.2">
      <c r="A31">
        <v>13</v>
      </c>
      <c r="B31" t="s">
        <v>20</v>
      </c>
      <c r="C31">
        <v>5</v>
      </c>
      <c r="D31">
        <v>7</v>
      </c>
      <c r="E31">
        <v>7</v>
      </c>
      <c r="F31">
        <v>1.39974271400001</v>
      </c>
      <c r="G31" t="b">
        <v>1</v>
      </c>
      <c r="H31" t="s">
        <v>59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5</v>
      </c>
      <c r="F32">
        <v>1.6600286149999799</v>
      </c>
      <c r="G32" t="b">
        <v>1</v>
      </c>
      <c r="H32" t="s">
        <v>227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0.735705500999984</v>
      </c>
      <c r="G33" t="b">
        <v>1</v>
      </c>
      <c r="H33" t="s">
        <v>58</v>
      </c>
    </row>
    <row r="34" spans="1:8" x14ac:dyDescent="0.2">
      <c r="A34">
        <v>16</v>
      </c>
      <c r="B34" t="s">
        <v>72</v>
      </c>
      <c r="C34">
        <v>6</v>
      </c>
      <c r="D34">
        <v>11</v>
      </c>
      <c r="E34">
        <v>8</v>
      </c>
      <c r="F34">
        <v>6.857790241</v>
      </c>
      <c r="G34" t="b">
        <v>1</v>
      </c>
      <c r="H34" t="s">
        <v>73</v>
      </c>
    </row>
    <row r="35" spans="1:8" x14ac:dyDescent="0.2">
      <c r="A35">
        <v>17</v>
      </c>
      <c r="B35" t="s">
        <v>64</v>
      </c>
      <c r="C35">
        <v>6</v>
      </c>
      <c r="D35">
        <v>10</v>
      </c>
      <c r="E35">
        <v>7</v>
      </c>
      <c r="F35">
        <v>5.7799050249999997</v>
      </c>
      <c r="G35" t="b">
        <v>1</v>
      </c>
      <c r="H35" t="s">
        <v>65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7</v>
      </c>
      <c r="F36">
        <v>6.6222814109999799</v>
      </c>
      <c r="G36" t="b">
        <v>1</v>
      </c>
      <c r="H36" t="s">
        <v>228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6</v>
      </c>
      <c r="F37">
        <v>5.7888678099999904</v>
      </c>
      <c r="G37" t="b">
        <v>1</v>
      </c>
      <c r="H37" t="s">
        <v>229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7</v>
      </c>
      <c r="F38">
        <v>6.8123189450000101</v>
      </c>
      <c r="G38" t="b">
        <v>1</v>
      </c>
      <c r="H38" t="s">
        <v>230</v>
      </c>
    </row>
    <row r="39" spans="1:8" x14ac:dyDescent="0.2">
      <c r="A39">
        <v>21</v>
      </c>
      <c r="B39" t="s">
        <v>78</v>
      </c>
      <c r="C39">
        <v>7</v>
      </c>
      <c r="D39">
        <v>15</v>
      </c>
      <c r="E39">
        <v>10</v>
      </c>
      <c r="F39">
        <v>14.010082103999901</v>
      </c>
      <c r="G39" t="b">
        <v>1</v>
      </c>
      <c r="H39" t="s">
        <v>231</v>
      </c>
    </row>
    <row r="40" spans="1:8" x14ac:dyDescent="0.2">
      <c r="A40">
        <v>22</v>
      </c>
      <c r="B40" t="s">
        <v>80</v>
      </c>
      <c r="C40">
        <v>7</v>
      </c>
      <c r="D40">
        <v>14</v>
      </c>
      <c r="E40">
        <v>9</v>
      </c>
      <c r="F40">
        <v>13.5457929289999</v>
      </c>
      <c r="G40" t="b">
        <v>1</v>
      </c>
      <c r="H40" t="s">
        <v>232</v>
      </c>
    </row>
    <row r="41" spans="1:8" x14ac:dyDescent="0.2">
      <c r="A41">
        <v>23</v>
      </c>
      <c r="B41" t="s">
        <v>82</v>
      </c>
      <c r="C41">
        <v>7</v>
      </c>
      <c r="D41">
        <v>14</v>
      </c>
      <c r="E41">
        <v>10</v>
      </c>
      <c r="F41">
        <v>13.1911429529999</v>
      </c>
      <c r="G41" t="b">
        <v>1</v>
      </c>
      <c r="H41" t="s">
        <v>233</v>
      </c>
    </row>
    <row r="42" spans="1:8" x14ac:dyDescent="0.2">
      <c r="A42">
        <v>24</v>
      </c>
      <c r="B42" t="s">
        <v>74</v>
      </c>
      <c r="C42">
        <v>7</v>
      </c>
      <c r="D42">
        <v>14</v>
      </c>
      <c r="E42">
        <v>10</v>
      </c>
      <c r="F42">
        <v>12.694246738999899</v>
      </c>
      <c r="G42" t="b">
        <v>1</v>
      </c>
      <c r="H42" t="s">
        <v>234</v>
      </c>
    </row>
    <row r="43" spans="1:8" x14ac:dyDescent="0.2">
      <c r="A43">
        <v>25</v>
      </c>
      <c r="B43" t="s">
        <v>76</v>
      </c>
      <c r="C43">
        <v>7</v>
      </c>
      <c r="D43">
        <v>14</v>
      </c>
      <c r="E43">
        <v>9</v>
      </c>
      <c r="F43">
        <v>12.4698795479999</v>
      </c>
      <c r="G43" t="b">
        <v>1</v>
      </c>
      <c r="H43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861C-5F73-DB4C-B940-4D52DB29E78F}">
  <dimension ref="A1:H43"/>
  <sheetViews>
    <sheetView workbookViewId="0">
      <selection sqref="A1:H44"/>
    </sheetView>
  </sheetViews>
  <sheetFormatPr baseColWidth="10" defaultRowHeight="16" x14ac:dyDescent="0.2"/>
  <sheetData>
    <row r="1" spans="1:1" x14ac:dyDescent="0.2">
      <c r="A1" t="s">
        <v>179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180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0.26445426601276201</v>
      </c>
      <c r="G19" t="b">
        <v>1</v>
      </c>
      <c r="H19" t="s">
        <v>57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5.2089689997956096E-3</v>
      </c>
      <c r="G20" t="b">
        <v>1</v>
      </c>
      <c r="H20" t="s">
        <v>56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4.9792700010584598E-3</v>
      </c>
      <c r="G21" t="b">
        <v>1</v>
      </c>
      <c r="H21" t="s">
        <v>50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5.3539590007858299E-3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4.9663570098346099E-3</v>
      </c>
      <c r="G23" t="b">
        <v>1</v>
      </c>
      <c r="H23" t="s">
        <v>52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0.22933947500132401</v>
      </c>
      <c r="G24" t="b">
        <v>1</v>
      </c>
      <c r="H24" t="s">
        <v>55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5</v>
      </c>
      <c r="F25">
        <v>0.21881667499837901</v>
      </c>
      <c r="G25" t="b">
        <v>1</v>
      </c>
      <c r="H25" t="s">
        <v>54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9.0196470118826203E-3</v>
      </c>
      <c r="G26" t="b">
        <v>1</v>
      </c>
      <c r="H26" t="s">
        <v>51</v>
      </c>
    </row>
    <row r="27" spans="1:8" x14ac:dyDescent="0.2">
      <c r="A27">
        <v>9</v>
      </c>
      <c r="B27" t="s">
        <v>36</v>
      </c>
      <c r="C27">
        <v>4</v>
      </c>
      <c r="D27">
        <v>5</v>
      </c>
      <c r="E27">
        <v>5</v>
      </c>
      <c r="F27">
        <v>0.21512024100229599</v>
      </c>
      <c r="G27" t="b">
        <v>1</v>
      </c>
      <c r="H27" t="s">
        <v>53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0.23084292998828401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5</v>
      </c>
      <c r="F29">
        <v>20.645562097997701</v>
      </c>
      <c r="G29" t="b">
        <v>1</v>
      </c>
      <c r="H29" t="s">
        <v>62</v>
      </c>
    </row>
    <row r="30" spans="1:8" x14ac:dyDescent="0.2">
      <c r="A30">
        <v>12</v>
      </c>
      <c r="B30" t="s">
        <v>28</v>
      </c>
      <c r="C30">
        <v>5</v>
      </c>
      <c r="D30">
        <v>8</v>
      </c>
      <c r="E30">
        <v>5</v>
      </c>
      <c r="F30">
        <v>19.621634605005902</v>
      </c>
      <c r="G30" t="b">
        <v>1</v>
      </c>
      <c r="H30" t="s">
        <v>61</v>
      </c>
    </row>
    <row r="31" spans="1:8" x14ac:dyDescent="0.2">
      <c r="A31">
        <v>13</v>
      </c>
      <c r="B31" t="s">
        <v>20</v>
      </c>
      <c r="C31">
        <v>5</v>
      </c>
      <c r="D31">
        <v>7</v>
      </c>
      <c r="E31">
        <v>7</v>
      </c>
      <c r="F31">
        <v>7.3454542120016404</v>
      </c>
      <c r="G31" t="b">
        <v>1</v>
      </c>
      <c r="H31" t="s">
        <v>59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6</v>
      </c>
      <c r="F32">
        <v>12.6125105469982</v>
      </c>
      <c r="G32" t="b">
        <v>1</v>
      </c>
      <c r="H32" t="s">
        <v>60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1.22266900000977</v>
      </c>
      <c r="G33" t="b">
        <v>1</v>
      </c>
      <c r="H33" t="s">
        <v>58</v>
      </c>
    </row>
    <row r="34" spans="1:8" x14ac:dyDescent="0.2">
      <c r="A34">
        <v>16</v>
      </c>
      <c r="B34" t="s">
        <v>72</v>
      </c>
      <c r="C34">
        <v>6</v>
      </c>
      <c r="D34">
        <v>11</v>
      </c>
      <c r="E34">
        <v>8</v>
      </c>
      <c r="F34">
        <v>60.059572918005799</v>
      </c>
      <c r="G34" t="b">
        <v>1</v>
      </c>
      <c r="H34" t="s">
        <v>73</v>
      </c>
    </row>
    <row r="35" spans="1:8" x14ac:dyDescent="0.2">
      <c r="A35">
        <v>17</v>
      </c>
      <c r="B35" t="s">
        <v>64</v>
      </c>
      <c r="C35">
        <v>6</v>
      </c>
      <c r="D35">
        <v>10</v>
      </c>
      <c r="E35">
        <v>7</v>
      </c>
      <c r="F35">
        <v>49.371587312008998</v>
      </c>
      <c r="G35" t="b">
        <v>1</v>
      </c>
      <c r="H35" t="s">
        <v>65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7</v>
      </c>
      <c r="F36">
        <v>59.4019780160015</v>
      </c>
      <c r="G36" t="b">
        <v>1</v>
      </c>
      <c r="H36" t="s">
        <v>71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8</v>
      </c>
      <c r="F37">
        <v>50.3479393239977</v>
      </c>
      <c r="G37" t="b">
        <v>1</v>
      </c>
      <c r="H37" t="s">
        <v>67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10</v>
      </c>
      <c r="F38">
        <v>59.577743876987299</v>
      </c>
      <c r="G38" t="b">
        <v>1</v>
      </c>
      <c r="H38" t="s">
        <v>69</v>
      </c>
    </row>
    <row r="39" spans="1:8" x14ac:dyDescent="0.2">
      <c r="A39">
        <v>21</v>
      </c>
      <c r="B39" t="s">
        <v>78</v>
      </c>
      <c r="C39">
        <v>7</v>
      </c>
      <c r="D39">
        <v>14</v>
      </c>
      <c r="E39">
        <v>8</v>
      </c>
      <c r="F39">
        <v>122.589099933989</v>
      </c>
      <c r="G39" t="b">
        <v>1</v>
      </c>
      <c r="H39" t="s">
        <v>79</v>
      </c>
    </row>
    <row r="40" spans="1:8" x14ac:dyDescent="0.2">
      <c r="A40">
        <v>22</v>
      </c>
      <c r="B40" t="s">
        <v>80</v>
      </c>
      <c r="C40">
        <v>7</v>
      </c>
      <c r="D40">
        <v>14</v>
      </c>
      <c r="E40">
        <v>8</v>
      </c>
      <c r="F40">
        <v>123.81802658000301</v>
      </c>
      <c r="G40" t="b">
        <v>1</v>
      </c>
      <c r="H40" t="s">
        <v>81</v>
      </c>
    </row>
    <row r="41" spans="1:8" x14ac:dyDescent="0.2">
      <c r="A41">
        <v>23</v>
      </c>
      <c r="B41" t="s">
        <v>82</v>
      </c>
      <c r="C41">
        <v>7</v>
      </c>
      <c r="D41">
        <v>14</v>
      </c>
      <c r="E41">
        <v>8</v>
      </c>
      <c r="F41">
        <v>123.341171653999</v>
      </c>
      <c r="G41" t="b">
        <v>1</v>
      </c>
      <c r="H41" t="s">
        <v>83</v>
      </c>
    </row>
    <row r="42" spans="1:8" x14ac:dyDescent="0.2">
      <c r="A42">
        <v>24</v>
      </c>
      <c r="B42" t="s">
        <v>74</v>
      </c>
      <c r="C42">
        <v>7</v>
      </c>
      <c r="D42">
        <v>13</v>
      </c>
      <c r="E42">
        <v>10</v>
      </c>
      <c r="F42">
        <v>108.927401395994</v>
      </c>
      <c r="G42" t="b">
        <v>1</v>
      </c>
      <c r="H42" t="s">
        <v>75</v>
      </c>
    </row>
    <row r="43" spans="1:8" x14ac:dyDescent="0.2">
      <c r="A43">
        <v>25</v>
      </c>
      <c r="B43" t="s">
        <v>76</v>
      </c>
      <c r="C43">
        <v>7</v>
      </c>
      <c r="D43">
        <v>14</v>
      </c>
      <c r="E43">
        <v>10</v>
      </c>
      <c r="F43">
        <v>118.106734895001</v>
      </c>
      <c r="G43" t="b">
        <v>1</v>
      </c>
      <c r="H4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3E33-A9B5-4640-BAF9-5D122A914614}">
  <dimension ref="A1:H43"/>
  <sheetViews>
    <sheetView workbookViewId="0">
      <selection sqref="A1:H44"/>
    </sheetView>
  </sheetViews>
  <sheetFormatPr baseColWidth="10" defaultRowHeight="16" x14ac:dyDescent="0.2"/>
  <sheetData>
    <row r="1" spans="1:1" x14ac:dyDescent="0.2">
      <c r="A1" t="s">
        <v>179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181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0.304443262997665</v>
      </c>
      <c r="G19" t="b">
        <v>1</v>
      </c>
      <c r="H19" t="s">
        <v>35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6.43362199480179E-3</v>
      </c>
      <c r="G20" t="b">
        <v>1</v>
      </c>
      <c r="H20" t="s">
        <v>39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6.1560260073747399E-3</v>
      </c>
      <c r="G21" t="b">
        <v>1</v>
      </c>
      <c r="H21" t="s">
        <v>27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6.3908250012900602E-3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6.3140029960777602E-3</v>
      </c>
      <c r="G23" t="b">
        <v>1</v>
      </c>
      <c r="H23" t="s">
        <v>41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1.9167532998835599E-2</v>
      </c>
      <c r="G24" t="b">
        <v>1</v>
      </c>
      <c r="H24" t="s">
        <v>45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3</v>
      </c>
      <c r="F25">
        <v>1.6144929002621201E-2</v>
      </c>
      <c r="G25" t="b">
        <v>1</v>
      </c>
      <c r="H25" t="s">
        <v>19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1.01809269981458E-2</v>
      </c>
      <c r="G26" t="b">
        <v>1</v>
      </c>
      <c r="H26" t="s">
        <v>23</v>
      </c>
    </row>
    <row r="27" spans="1:8" x14ac:dyDescent="0.2">
      <c r="A27">
        <v>9</v>
      </c>
      <c r="B27" t="s">
        <v>36</v>
      </c>
      <c r="C27">
        <v>4</v>
      </c>
      <c r="D27">
        <v>6</v>
      </c>
      <c r="E27">
        <v>5</v>
      </c>
      <c r="F27">
        <v>1.9910293005523199E-2</v>
      </c>
      <c r="G27" t="b">
        <v>1</v>
      </c>
      <c r="H27" t="s">
        <v>37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1.6706431997590698E-2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6</v>
      </c>
      <c r="F29">
        <v>3.57368319964734E-2</v>
      </c>
      <c r="G29" t="b">
        <v>1</v>
      </c>
      <c r="H29" t="s">
        <v>47</v>
      </c>
    </row>
    <row r="30" spans="1:8" x14ac:dyDescent="0.2">
      <c r="A30">
        <v>12</v>
      </c>
      <c r="B30" t="s">
        <v>28</v>
      </c>
      <c r="C30">
        <v>5</v>
      </c>
      <c r="D30">
        <v>9</v>
      </c>
      <c r="E30">
        <v>9</v>
      </c>
      <c r="F30">
        <v>4.6923148998757797E-2</v>
      </c>
      <c r="G30" t="b">
        <v>1</v>
      </c>
      <c r="H30" t="s">
        <v>29</v>
      </c>
    </row>
    <row r="31" spans="1:8" x14ac:dyDescent="0.2">
      <c r="A31">
        <v>13</v>
      </c>
      <c r="B31" t="s">
        <v>20</v>
      </c>
      <c r="C31">
        <v>5</v>
      </c>
      <c r="D31">
        <v>8</v>
      </c>
      <c r="E31">
        <v>7</v>
      </c>
      <c r="F31">
        <v>3.6019431994645801E-2</v>
      </c>
      <c r="G31" t="b">
        <v>1</v>
      </c>
      <c r="H31" t="s">
        <v>21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7</v>
      </c>
      <c r="F32">
        <v>2.7744670995161799E-2</v>
      </c>
      <c r="G32" t="b">
        <v>1</v>
      </c>
      <c r="H32" t="s">
        <v>25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2.6753868995001501E-2</v>
      </c>
      <c r="G33" t="b">
        <v>1</v>
      </c>
      <c r="H33" t="s">
        <v>43</v>
      </c>
    </row>
    <row r="34" spans="1:8" x14ac:dyDescent="0.2">
      <c r="A34">
        <v>16</v>
      </c>
      <c r="B34" t="s">
        <v>72</v>
      </c>
      <c r="C34">
        <v>6</v>
      </c>
      <c r="D34">
        <v>12</v>
      </c>
      <c r="E34">
        <v>12</v>
      </c>
      <c r="F34">
        <v>9.0180174011038602E-2</v>
      </c>
      <c r="G34" t="b">
        <v>1</v>
      </c>
      <c r="H34" t="s">
        <v>133</v>
      </c>
    </row>
    <row r="35" spans="1:8" x14ac:dyDescent="0.2">
      <c r="A35">
        <v>17</v>
      </c>
      <c r="B35" t="s">
        <v>64</v>
      </c>
      <c r="C35">
        <v>6</v>
      </c>
      <c r="D35">
        <v>12</v>
      </c>
      <c r="E35">
        <v>8</v>
      </c>
      <c r="F35">
        <v>9.8856310985866003E-2</v>
      </c>
      <c r="G35" t="b">
        <v>1</v>
      </c>
      <c r="H35" t="s">
        <v>128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8</v>
      </c>
      <c r="F36">
        <v>7.7395749001880093E-2</v>
      </c>
      <c r="G36" t="b">
        <v>1</v>
      </c>
      <c r="H36" t="s">
        <v>129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6</v>
      </c>
      <c r="F37">
        <v>7.6236627995967796E-2</v>
      </c>
      <c r="G37" t="b">
        <v>1</v>
      </c>
      <c r="H37" t="s">
        <v>132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8</v>
      </c>
      <c r="F38">
        <v>8.4014046995434896E-2</v>
      </c>
      <c r="G38" t="b">
        <v>1</v>
      </c>
      <c r="H38" t="s">
        <v>127</v>
      </c>
    </row>
    <row r="39" spans="1:8" x14ac:dyDescent="0.2">
      <c r="A39">
        <v>21</v>
      </c>
      <c r="B39" t="s">
        <v>78</v>
      </c>
      <c r="C39">
        <v>7</v>
      </c>
      <c r="D39">
        <v>16</v>
      </c>
      <c r="E39">
        <v>10</v>
      </c>
      <c r="F39">
        <v>0.16320194199215601</v>
      </c>
      <c r="G39" t="b">
        <v>1</v>
      </c>
      <c r="H39" t="s">
        <v>131</v>
      </c>
    </row>
    <row r="40" spans="1:8" x14ac:dyDescent="0.2">
      <c r="A40">
        <v>22</v>
      </c>
      <c r="B40" t="s">
        <v>80</v>
      </c>
      <c r="C40">
        <v>7</v>
      </c>
      <c r="D40">
        <v>16</v>
      </c>
      <c r="E40">
        <v>11</v>
      </c>
      <c r="F40">
        <v>0.16237427300075</v>
      </c>
      <c r="G40" t="b">
        <v>1</v>
      </c>
      <c r="H40" t="s">
        <v>130</v>
      </c>
    </row>
    <row r="41" spans="1:8" x14ac:dyDescent="0.2">
      <c r="A41">
        <v>23</v>
      </c>
      <c r="B41" t="s">
        <v>82</v>
      </c>
      <c r="C41">
        <v>7</v>
      </c>
      <c r="D41">
        <v>17</v>
      </c>
      <c r="E41">
        <v>13</v>
      </c>
      <c r="F41">
        <v>0.17682188001344901</v>
      </c>
      <c r="G41" t="b">
        <v>1</v>
      </c>
      <c r="H41" t="s">
        <v>134</v>
      </c>
    </row>
    <row r="42" spans="1:8" x14ac:dyDescent="0.2">
      <c r="A42">
        <v>24</v>
      </c>
      <c r="B42" t="s">
        <v>74</v>
      </c>
      <c r="C42">
        <v>7</v>
      </c>
      <c r="D42">
        <v>14</v>
      </c>
      <c r="E42">
        <v>10</v>
      </c>
      <c r="F42">
        <v>0.124018967995652</v>
      </c>
      <c r="G42" t="b">
        <v>1</v>
      </c>
      <c r="H42" t="s">
        <v>126</v>
      </c>
    </row>
    <row r="43" spans="1:8" x14ac:dyDescent="0.2">
      <c r="A43">
        <v>25</v>
      </c>
      <c r="B43" t="s">
        <v>76</v>
      </c>
      <c r="C43">
        <v>7</v>
      </c>
      <c r="D43">
        <v>16</v>
      </c>
      <c r="E43">
        <v>12</v>
      </c>
      <c r="F43">
        <v>0.142709851003019</v>
      </c>
      <c r="G43" t="b">
        <v>1</v>
      </c>
      <c r="H43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7008-BC00-FE49-B6A1-DE85BD904F20}">
  <dimension ref="A1:H43"/>
  <sheetViews>
    <sheetView workbookViewId="0">
      <selection sqref="A1:H44"/>
    </sheetView>
  </sheetViews>
  <sheetFormatPr baseColWidth="10" defaultRowHeight="16" x14ac:dyDescent="0.2"/>
  <sheetData>
    <row r="1" spans="1:1" x14ac:dyDescent="0.2">
      <c r="A1" t="s">
        <v>179</v>
      </c>
    </row>
    <row r="2" spans="1:1" x14ac:dyDescent="0.2">
      <c r="A2" t="s">
        <v>182</v>
      </c>
    </row>
    <row r="3" spans="1:1" x14ac:dyDescent="0.2">
      <c r="A3" t="s">
        <v>183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184</v>
      </c>
    </row>
    <row r="17" spans="1:8" x14ac:dyDescent="0.2">
      <c r="A17" t="s">
        <v>185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5</v>
      </c>
      <c r="E19">
        <v>5</v>
      </c>
      <c r="F19">
        <v>2.2555813193321202E-3</v>
      </c>
      <c r="H19" t="s">
        <v>186</v>
      </c>
    </row>
    <row r="20" spans="1:8" x14ac:dyDescent="0.2">
      <c r="A20">
        <v>2</v>
      </c>
      <c r="B20" t="s">
        <v>38</v>
      </c>
      <c r="C20">
        <v>3</v>
      </c>
      <c r="D20">
        <v>5</v>
      </c>
      <c r="E20">
        <v>5</v>
      </c>
      <c r="F20">
        <v>1.9067823886871301E-3</v>
      </c>
      <c r="H20" t="s">
        <v>187</v>
      </c>
    </row>
    <row r="21" spans="1:8" x14ac:dyDescent="0.2">
      <c r="A21">
        <v>3</v>
      </c>
      <c r="B21" t="s">
        <v>26</v>
      </c>
      <c r="C21">
        <v>3</v>
      </c>
      <c r="D21">
        <v>8</v>
      </c>
      <c r="E21">
        <v>8</v>
      </c>
      <c r="F21">
        <v>1.0847449302673301E-3</v>
      </c>
      <c r="H21" t="s">
        <v>188</v>
      </c>
    </row>
    <row r="22" spans="1:8" x14ac:dyDescent="0.2">
      <c r="A22">
        <v>4</v>
      </c>
      <c r="B22" t="s">
        <v>32</v>
      </c>
      <c r="C22">
        <v>3</v>
      </c>
      <c r="D22">
        <v>7</v>
      </c>
      <c r="E22">
        <v>7</v>
      </c>
      <c r="F22">
        <v>1.02031230926513E-3</v>
      </c>
      <c r="H22" t="s">
        <v>189</v>
      </c>
    </row>
    <row r="23" spans="1:8" x14ac:dyDescent="0.2">
      <c r="A23">
        <v>5</v>
      </c>
      <c r="B23" t="s">
        <v>40</v>
      </c>
      <c r="C23">
        <v>3</v>
      </c>
      <c r="D23">
        <v>7</v>
      </c>
      <c r="E23">
        <v>7</v>
      </c>
      <c r="F23">
        <v>9.2547386884689299E-4</v>
      </c>
      <c r="H23" t="s">
        <v>190</v>
      </c>
    </row>
    <row r="24" spans="1:8" x14ac:dyDescent="0.2">
      <c r="A24">
        <v>6</v>
      </c>
      <c r="B24" t="s">
        <v>44</v>
      </c>
      <c r="C24">
        <v>4</v>
      </c>
      <c r="D24">
        <v>11</v>
      </c>
      <c r="E24">
        <v>11</v>
      </c>
      <c r="F24">
        <v>1.1087954044342E-3</v>
      </c>
      <c r="H24" t="s">
        <v>191</v>
      </c>
    </row>
    <row r="25" spans="1:8" x14ac:dyDescent="0.2">
      <c r="A25">
        <v>7</v>
      </c>
      <c r="B25" t="s">
        <v>18</v>
      </c>
      <c r="C25">
        <v>4</v>
      </c>
      <c r="D25">
        <v>11</v>
      </c>
      <c r="E25">
        <v>11</v>
      </c>
      <c r="F25">
        <v>1.19052827358245E-3</v>
      </c>
      <c r="H25" t="s">
        <v>192</v>
      </c>
    </row>
    <row r="26" spans="1:8" x14ac:dyDescent="0.2">
      <c r="A26">
        <v>8</v>
      </c>
      <c r="B26" t="s">
        <v>22</v>
      </c>
      <c r="C26">
        <v>4</v>
      </c>
      <c r="D26">
        <v>7</v>
      </c>
      <c r="E26">
        <v>6</v>
      </c>
      <c r="F26">
        <v>1.2707710266113201E-3</v>
      </c>
      <c r="H26" t="s">
        <v>193</v>
      </c>
    </row>
    <row r="27" spans="1:8" x14ac:dyDescent="0.2">
      <c r="A27">
        <v>9</v>
      </c>
      <c r="B27" t="s">
        <v>36</v>
      </c>
      <c r="C27">
        <v>4</v>
      </c>
      <c r="D27">
        <v>13</v>
      </c>
      <c r="E27">
        <v>12</v>
      </c>
      <c r="F27">
        <v>1.0872110724449099E-3</v>
      </c>
      <c r="H27" t="s">
        <v>194</v>
      </c>
    </row>
    <row r="28" spans="1:8" x14ac:dyDescent="0.2">
      <c r="A28">
        <v>10</v>
      </c>
      <c r="B28" t="s">
        <v>30</v>
      </c>
      <c r="C28">
        <v>4</v>
      </c>
      <c r="D28">
        <v>8</v>
      </c>
      <c r="E28">
        <v>8</v>
      </c>
      <c r="F28">
        <v>1.1371895670890799E-3</v>
      </c>
      <c r="H28" t="s">
        <v>195</v>
      </c>
    </row>
    <row r="29" spans="1:8" x14ac:dyDescent="0.2">
      <c r="A29">
        <v>11</v>
      </c>
      <c r="B29" t="s">
        <v>46</v>
      </c>
      <c r="C29">
        <v>5</v>
      </c>
      <c r="D29">
        <v>17</v>
      </c>
      <c r="E29">
        <v>17</v>
      </c>
      <c r="F29">
        <v>1.8498003482818599E-3</v>
      </c>
      <c r="H29" t="s">
        <v>196</v>
      </c>
    </row>
    <row r="30" spans="1:8" x14ac:dyDescent="0.2">
      <c r="A30">
        <v>12</v>
      </c>
      <c r="B30" t="s">
        <v>28</v>
      </c>
      <c r="C30">
        <v>5</v>
      </c>
      <c r="D30">
        <v>20</v>
      </c>
      <c r="E30">
        <v>20</v>
      </c>
      <c r="F30">
        <v>1.6954988241195601E-3</v>
      </c>
      <c r="H30" t="s">
        <v>197</v>
      </c>
    </row>
    <row r="31" spans="1:8" x14ac:dyDescent="0.2">
      <c r="A31">
        <v>13</v>
      </c>
      <c r="B31" t="s">
        <v>20</v>
      </c>
      <c r="C31">
        <v>5</v>
      </c>
      <c r="D31">
        <v>22</v>
      </c>
      <c r="E31">
        <v>21</v>
      </c>
      <c r="F31">
        <v>1.6851872205734201E-3</v>
      </c>
      <c r="H31" t="s">
        <v>198</v>
      </c>
    </row>
    <row r="32" spans="1:8" x14ac:dyDescent="0.2">
      <c r="A32">
        <v>14</v>
      </c>
      <c r="B32" t="s">
        <v>24</v>
      </c>
      <c r="C32">
        <v>5</v>
      </c>
      <c r="D32">
        <v>21</v>
      </c>
      <c r="E32">
        <v>20</v>
      </c>
      <c r="F32">
        <v>1.5930980443954401E-3</v>
      </c>
      <c r="H32" t="s">
        <v>199</v>
      </c>
    </row>
    <row r="33" spans="1:8" x14ac:dyDescent="0.2">
      <c r="A33">
        <v>15</v>
      </c>
      <c r="B33" t="s">
        <v>42</v>
      </c>
      <c r="C33">
        <v>5</v>
      </c>
      <c r="D33">
        <v>20</v>
      </c>
      <c r="E33">
        <v>19</v>
      </c>
      <c r="F33">
        <v>1.8935278058052E-3</v>
      </c>
      <c r="H33" t="s">
        <v>200</v>
      </c>
    </row>
    <row r="34" spans="1:8" x14ac:dyDescent="0.2">
      <c r="A34">
        <v>16</v>
      </c>
      <c r="B34" t="s">
        <v>72</v>
      </c>
      <c r="C34">
        <v>6</v>
      </c>
      <c r="D34">
        <v>32</v>
      </c>
      <c r="E34">
        <v>30</v>
      </c>
      <c r="F34">
        <v>2.2044703364372201E-3</v>
      </c>
      <c r="H34" t="s">
        <v>201</v>
      </c>
    </row>
    <row r="35" spans="1:8" x14ac:dyDescent="0.2">
      <c r="A35">
        <v>17</v>
      </c>
      <c r="B35" t="s">
        <v>64</v>
      </c>
      <c r="C35">
        <v>6</v>
      </c>
      <c r="D35">
        <v>28</v>
      </c>
      <c r="E35">
        <v>27</v>
      </c>
      <c r="F35">
        <v>2.09511816501617E-3</v>
      </c>
      <c r="H35" t="s">
        <v>202</v>
      </c>
    </row>
    <row r="36" spans="1:8" x14ac:dyDescent="0.2">
      <c r="A36">
        <v>18</v>
      </c>
      <c r="B36" t="s">
        <v>70</v>
      </c>
      <c r="C36">
        <v>6</v>
      </c>
      <c r="D36">
        <v>30</v>
      </c>
      <c r="E36">
        <v>29</v>
      </c>
      <c r="F36">
        <v>2.2264197468757599E-3</v>
      </c>
      <c r="H36" t="s">
        <v>203</v>
      </c>
    </row>
    <row r="37" spans="1:8" x14ac:dyDescent="0.2">
      <c r="A37">
        <v>19</v>
      </c>
      <c r="B37" t="s">
        <v>66</v>
      </c>
      <c r="C37">
        <v>6</v>
      </c>
      <c r="D37">
        <v>21</v>
      </c>
      <c r="E37">
        <v>18</v>
      </c>
      <c r="F37">
        <v>2.0572543144226E-3</v>
      </c>
      <c r="H37" t="s">
        <v>204</v>
      </c>
    </row>
    <row r="38" spans="1:8" x14ac:dyDescent="0.2">
      <c r="A38">
        <v>20</v>
      </c>
      <c r="B38" t="s">
        <v>68</v>
      </c>
      <c r="C38">
        <v>6</v>
      </c>
      <c r="D38">
        <v>28</v>
      </c>
      <c r="E38">
        <v>24</v>
      </c>
      <c r="F38">
        <v>2.10433453321456E-3</v>
      </c>
      <c r="H38" t="s">
        <v>205</v>
      </c>
    </row>
    <row r="39" spans="1:8" x14ac:dyDescent="0.2">
      <c r="A39">
        <v>21</v>
      </c>
      <c r="B39" t="s">
        <v>78</v>
      </c>
      <c r="C39">
        <v>7</v>
      </c>
      <c r="D39">
        <v>39</v>
      </c>
      <c r="E39">
        <v>38</v>
      </c>
      <c r="F39">
        <v>2.5479793548583902E-3</v>
      </c>
      <c r="H39" t="s">
        <v>206</v>
      </c>
    </row>
    <row r="40" spans="1:8" x14ac:dyDescent="0.2">
      <c r="A40">
        <v>22</v>
      </c>
      <c r="B40" t="s">
        <v>80</v>
      </c>
      <c r="C40">
        <v>7</v>
      </c>
      <c r="D40">
        <v>44</v>
      </c>
      <c r="E40">
        <v>42</v>
      </c>
      <c r="F40">
        <v>2.6206821203231799E-3</v>
      </c>
      <c r="H40" t="s">
        <v>207</v>
      </c>
    </row>
    <row r="41" spans="1:8" x14ac:dyDescent="0.2">
      <c r="A41">
        <v>23</v>
      </c>
      <c r="B41" t="s">
        <v>82</v>
      </c>
      <c r="C41">
        <v>7</v>
      </c>
      <c r="D41">
        <v>42</v>
      </c>
      <c r="E41">
        <v>39</v>
      </c>
      <c r="F41">
        <v>2.7382373809814401E-3</v>
      </c>
      <c r="H41" t="s">
        <v>208</v>
      </c>
    </row>
    <row r="42" spans="1:8" x14ac:dyDescent="0.2">
      <c r="A42">
        <v>24</v>
      </c>
      <c r="B42" t="s">
        <v>74</v>
      </c>
      <c r="C42">
        <v>7</v>
      </c>
      <c r="D42">
        <v>35</v>
      </c>
      <c r="E42">
        <v>33</v>
      </c>
      <c r="F42">
        <v>2.65335291624069E-3</v>
      </c>
      <c r="H42" t="s">
        <v>209</v>
      </c>
    </row>
    <row r="43" spans="1:8" x14ac:dyDescent="0.2">
      <c r="A43">
        <v>25</v>
      </c>
      <c r="B43" t="s">
        <v>76</v>
      </c>
      <c r="C43">
        <v>7</v>
      </c>
      <c r="D43">
        <v>40</v>
      </c>
      <c r="E43">
        <v>37</v>
      </c>
      <c r="F43">
        <v>2.7687102556228599E-3</v>
      </c>
      <c r="H43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01B7-58FB-5644-A725-6415B1A7EF2F}">
  <dimension ref="A1:H43"/>
  <sheetViews>
    <sheetView workbookViewId="0">
      <selection activeCell="E10" sqref="E10"/>
    </sheetView>
  </sheetViews>
  <sheetFormatPr baseColWidth="10" defaultRowHeight="16" x14ac:dyDescent="0.2"/>
  <sheetData>
    <row r="1" spans="1:1" x14ac:dyDescent="0.2">
      <c r="A1" t="s">
        <v>215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223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236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0.36734438599998498</v>
      </c>
      <c r="G19" t="b">
        <v>1</v>
      </c>
      <c r="H19" t="s">
        <v>57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4.9159710000026202E-3</v>
      </c>
      <c r="G20" t="b">
        <v>1</v>
      </c>
      <c r="H20" t="s">
        <v>56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4.8174529999869204E-3</v>
      </c>
      <c r="G21" t="b">
        <v>1</v>
      </c>
      <c r="H21" t="s">
        <v>50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4.8527170000056599E-3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4.90186099997913E-3</v>
      </c>
      <c r="G23" t="b">
        <v>1</v>
      </c>
      <c r="H23" t="s">
        <v>52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0.20792830299998799</v>
      </c>
      <c r="G24" t="b">
        <v>1</v>
      </c>
      <c r="H24" t="s">
        <v>55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5</v>
      </c>
      <c r="F25">
        <v>0.20419290600000201</v>
      </c>
      <c r="G25" t="b">
        <v>1</v>
      </c>
      <c r="H25" t="s">
        <v>54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8.6606289999906494E-3</v>
      </c>
      <c r="G26" t="b">
        <v>1</v>
      </c>
      <c r="H26" t="s">
        <v>51</v>
      </c>
    </row>
    <row r="27" spans="1:8" x14ac:dyDescent="0.2">
      <c r="A27">
        <v>9</v>
      </c>
      <c r="B27" t="s">
        <v>36</v>
      </c>
      <c r="C27">
        <v>4</v>
      </c>
      <c r="D27">
        <v>5</v>
      </c>
      <c r="E27">
        <v>5</v>
      </c>
      <c r="F27">
        <v>0.198582264000009</v>
      </c>
      <c r="G27" t="b">
        <v>1</v>
      </c>
      <c r="H27" t="s">
        <v>53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0.217343990000017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5</v>
      </c>
      <c r="F29">
        <v>2.7433159260000002</v>
      </c>
      <c r="G29" t="b">
        <v>1</v>
      </c>
      <c r="H29" t="s">
        <v>225</v>
      </c>
    </row>
    <row r="30" spans="1:8" x14ac:dyDescent="0.2">
      <c r="A30">
        <v>12</v>
      </c>
      <c r="B30" t="s">
        <v>28</v>
      </c>
      <c r="C30">
        <v>5</v>
      </c>
      <c r="D30">
        <v>8</v>
      </c>
      <c r="E30">
        <v>5</v>
      </c>
      <c r="F30">
        <v>2.69702904999999</v>
      </c>
      <c r="G30" t="b">
        <v>1</v>
      </c>
      <c r="H30" t="s">
        <v>226</v>
      </c>
    </row>
    <row r="31" spans="1:8" x14ac:dyDescent="0.2">
      <c r="A31">
        <v>13</v>
      </c>
      <c r="B31" t="s">
        <v>20</v>
      </c>
      <c r="C31">
        <v>5</v>
      </c>
      <c r="D31">
        <v>7</v>
      </c>
      <c r="E31">
        <v>7</v>
      </c>
      <c r="F31">
        <v>1.3932817909999899</v>
      </c>
      <c r="G31" t="b">
        <v>1</v>
      </c>
      <c r="H31" t="s">
        <v>59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5</v>
      </c>
      <c r="F32">
        <v>1.65059946300002</v>
      </c>
      <c r="G32" t="b">
        <v>1</v>
      </c>
      <c r="H32" t="s">
        <v>227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0.73332119299999399</v>
      </c>
      <c r="G33" t="b">
        <v>1</v>
      </c>
      <c r="H33" t="s">
        <v>58</v>
      </c>
    </row>
    <row r="34" spans="1:8" x14ac:dyDescent="0.2">
      <c r="A34">
        <v>16</v>
      </c>
      <c r="B34" t="s">
        <v>72</v>
      </c>
      <c r="C34">
        <v>6</v>
      </c>
      <c r="D34">
        <v>11</v>
      </c>
      <c r="E34">
        <v>8</v>
      </c>
      <c r="F34">
        <v>6.8135109449999902</v>
      </c>
      <c r="G34" t="b">
        <v>1</v>
      </c>
      <c r="H34" t="s">
        <v>73</v>
      </c>
    </row>
    <row r="35" spans="1:8" x14ac:dyDescent="0.2">
      <c r="A35">
        <v>17</v>
      </c>
      <c r="B35" t="s">
        <v>64</v>
      </c>
      <c r="C35">
        <v>6</v>
      </c>
      <c r="D35">
        <v>10</v>
      </c>
      <c r="E35">
        <v>7</v>
      </c>
      <c r="F35">
        <v>5.7791323820000002</v>
      </c>
      <c r="G35" t="b">
        <v>1</v>
      </c>
      <c r="H35" t="s">
        <v>65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7</v>
      </c>
      <c r="F36">
        <v>6.6151020070000097</v>
      </c>
      <c r="G36" t="b">
        <v>1</v>
      </c>
      <c r="H36" t="s">
        <v>228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6</v>
      </c>
      <c r="F37">
        <v>5.7754167139999799</v>
      </c>
      <c r="G37" t="b">
        <v>1</v>
      </c>
      <c r="H37" t="s">
        <v>229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7</v>
      </c>
      <c r="F38">
        <v>6.7793011969999899</v>
      </c>
      <c r="G38" t="b">
        <v>1</v>
      </c>
      <c r="H38" t="s">
        <v>230</v>
      </c>
    </row>
    <row r="39" spans="1:8" x14ac:dyDescent="0.2">
      <c r="A39">
        <v>21</v>
      </c>
      <c r="B39" t="s">
        <v>78</v>
      </c>
      <c r="C39">
        <v>7</v>
      </c>
      <c r="D39">
        <v>15</v>
      </c>
      <c r="E39">
        <v>10</v>
      </c>
      <c r="F39">
        <v>13.895207448000001</v>
      </c>
      <c r="G39" t="b">
        <v>1</v>
      </c>
      <c r="H39" t="s">
        <v>231</v>
      </c>
    </row>
    <row r="40" spans="1:8" x14ac:dyDescent="0.2">
      <c r="A40">
        <v>22</v>
      </c>
      <c r="B40" t="s">
        <v>80</v>
      </c>
      <c r="C40">
        <v>7</v>
      </c>
      <c r="D40">
        <v>14</v>
      </c>
      <c r="E40">
        <v>9</v>
      </c>
      <c r="F40">
        <v>13.456829076999901</v>
      </c>
      <c r="G40" t="b">
        <v>1</v>
      </c>
      <c r="H40" t="s">
        <v>232</v>
      </c>
    </row>
    <row r="41" spans="1:8" x14ac:dyDescent="0.2">
      <c r="A41">
        <v>23</v>
      </c>
      <c r="B41" t="s">
        <v>82</v>
      </c>
      <c r="C41">
        <v>7</v>
      </c>
      <c r="D41">
        <v>14</v>
      </c>
      <c r="E41">
        <v>10</v>
      </c>
      <c r="F41">
        <v>13.072849399000001</v>
      </c>
      <c r="G41" t="b">
        <v>1</v>
      </c>
      <c r="H41" t="s">
        <v>233</v>
      </c>
    </row>
    <row r="42" spans="1:8" x14ac:dyDescent="0.2">
      <c r="A42">
        <v>24</v>
      </c>
      <c r="B42" t="s">
        <v>74</v>
      </c>
      <c r="C42">
        <v>7</v>
      </c>
      <c r="D42">
        <v>14</v>
      </c>
      <c r="E42">
        <v>10</v>
      </c>
      <c r="F42">
        <v>12.562826211999999</v>
      </c>
      <c r="G42" t="b">
        <v>1</v>
      </c>
      <c r="H42" t="s">
        <v>234</v>
      </c>
    </row>
    <row r="43" spans="1:8" x14ac:dyDescent="0.2">
      <c r="A43">
        <v>25</v>
      </c>
      <c r="B43" t="s">
        <v>76</v>
      </c>
      <c r="C43">
        <v>7</v>
      </c>
      <c r="D43">
        <v>14</v>
      </c>
      <c r="E43">
        <v>9</v>
      </c>
      <c r="F43">
        <v>12.412974577999901</v>
      </c>
      <c r="G43" t="b">
        <v>1</v>
      </c>
      <c r="H43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F800-5518-0446-9243-6C133718616D}">
  <dimension ref="A1:A18"/>
  <sheetViews>
    <sheetView workbookViewId="0">
      <selection sqref="A1:A19"/>
    </sheetView>
  </sheetViews>
  <sheetFormatPr baseColWidth="10" defaultRowHeight="16" x14ac:dyDescent="0.2"/>
  <sheetData>
    <row r="1" spans="1:1" x14ac:dyDescent="0.2">
      <c r="A1" t="s">
        <v>211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212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2C67-28EE-F64B-9BA3-F26DF2418E11}">
  <dimension ref="A1:A18"/>
  <sheetViews>
    <sheetView workbookViewId="0">
      <selection sqref="A1:A19"/>
    </sheetView>
  </sheetViews>
  <sheetFormatPr baseColWidth="10" defaultRowHeight="16" x14ac:dyDescent="0.2"/>
  <sheetData>
    <row r="1" spans="1:1" x14ac:dyDescent="0.2">
      <c r="A1" t="s">
        <v>211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213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73AC-901A-254B-92AC-BE0ED9FC0BF6}">
  <dimension ref="A1:A18"/>
  <sheetViews>
    <sheetView workbookViewId="0">
      <selection sqref="A1:A19"/>
    </sheetView>
  </sheetViews>
  <sheetFormatPr baseColWidth="10" defaultRowHeight="16" x14ac:dyDescent="0.2"/>
  <sheetData>
    <row r="1" spans="1:1" x14ac:dyDescent="0.2">
      <c r="A1" t="s">
        <v>211</v>
      </c>
    </row>
    <row r="2" spans="1:1" x14ac:dyDescent="0.2">
      <c r="A2" t="s">
        <v>182</v>
      </c>
    </row>
    <row r="3" spans="1:1" x14ac:dyDescent="0.2">
      <c r="A3" t="s">
        <v>183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184</v>
      </c>
    </row>
    <row r="17" spans="1:1" x14ac:dyDescent="0.2">
      <c r="A17" t="s">
        <v>214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5B3A-9AE6-BD4D-9DC7-6AB20028A379}">
  <dimension ref="A1:H43"/>
  <sheetViews>
    <sheetView workbookViewId="0">
      <selection activeCell="E8" sqref="E8"/>
    </sheetView>
  </sheetViews>
  <sheetFormatPr baseColWidth="10" defaultRowHeight="16" x14ac:dyDescent="0.2"/>
  <sheetData>
    <row r="1" spans="1:1" x14ac:dyDescent="0.2">
      <c r="A1" t="s">
        <v>237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223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238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0.27015207700000499</v>
      </c>
      <c r="G19" t="b">
        <v>1</v>
      </c>
      <c r="H19" t="s">
        <v>57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5.0903759999982798E-3</v>
      </c>
      <c r="G20" t="b">
        <v>1</v>
      </c>
      <c r="H20" t="s">
        <v>56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4.98095500000772E-3</v>
      </c>
      <c r="G21" t="b">
        <v>1</v>
      </c>
      <c r="H21" t="s">
        <v>50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4.9804550000089797E-3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5.0465959999996804E-3</v>
      </c>
      <c r="G23" t="b">
        <v>1</v>
      </c>
      <c r="H23" t="s">
        <v>52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0.21504432999998299</v>
      </c>
      <c r="G24" t="b">
        <v>1</v>
      </c>
      <c r="H24" t="s">
        <v>55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5</v>
      </c>
      <c r="F25">
        <v>0.21093799999999799</v>
      </c>
      <c r="G25" t="b">
        <v>1</v>
      </c>
      <c r="H25" t="s">
        <v>54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8.9393570000026994E-3</v>
      </c>
      <c r="G26" t="b">
        <v>1</v>
      </c>
      <c r="H26" t="s">
        <v>51</v>
      </c>
    </row>
    <row r="27" spans="1:8" x14ac:dyDescent="0.2">
      <c r="A27">
        <v>9</v>
      </c>
      <c r="B27" t="s">
        <v>36</v>
      </c>
      <c r="C27">
        <v>4</v>
      </c>
      <c r="D27">
        <v>5</v>
      </c>
      <c r="E27">
        <v>5</v>
      </c>
      <c r="F27">
        <v>0.20490005299998801</v>
      </c>
      <c r="G27" t="b">
        <v>1</v>
      </c>
      <c r="H27" t="s">
        <v>53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0.22370224300001901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5</v>
      </c>
      <c r="F29">
        <v>2.8180295819999999</v>
      </c>
      <c r="G29" t="b">
        <v>1</v>
      </c>
      <c r="H29" t="s">
        <v>225</v>
      </c>
    </row>
    <row r="30" spans="1:8" x14ac:dyDescent="0.2">
      <c r="A30">
        <v>12</v>
      </c>
      <c r="B30" t="s">
        <v>28</v>
      </c>
      <c r="C30">
        <v>5</v>
      </c>
      <c r="D30">
        <v>8</v>
      </c>
      <c r="E30">
        <v>5</v>
      </c>
      <c r="F30">
        <v>2.7490976809999901</v>
      </c>
      <c r="G30" t="b">
        <v>1</v>
      </c>
      <c r="H30" t="s">
        <v>226</v>
      </c>
    </row>
    <row r="31" spans="1:8" x14ac:dyDescent="0.2">
      <c r="A31">
        <v>13</v>
      </c>
      <c r="B31" t="s">
        <v>20</v>
      </c>
      <c r="C31">
        <v>5</v>
      </c>
      <c r="D31">
        <v>7</v>
      </c>
      <c r="E31">
        <v>7</v>
      </c>
      <c r="F31">
        <v>1.426962828</v>
      </c>
      <c r="G31" t="b">
        <v>1</v>
      </c>
      <c r="H31" t="s">
        <v>59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5</v>
      </c>
      <c r="F32">
        <v>1.6951679959999999</v>
      </c>
      <c r="G32" t="b">
        <v>1</v>
      </c>
      <c r="H32" t="s">
        <v>227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0.75278998400000297</v>
      </c>
      <c r="G33" t="b">
        <v>1</v>
      </c>
      <c r="H33" t="s">
        <v>58</v>
      </c>
    </row>
    <row r="34" spans="1:8" x14ac:dyDescent="0.2">
      <c r="A34">
        <v>16</v>
      </c>
      <c r="B34" t="s">
        <v>72</v>
      </c>
      <c r="C34">
        <v>6</v>
      </c>
      <c r="D34">
        <v>11</v>
      </c>
      <c r="E34">
        <v>8</v>
      </c>
      <c r="F34">
        <v>6.9925728940000003</v>
      </c>
      <c r="G34" t="b">
        <v>1</v>
      </c>
      <c r="H34" t="s">
        <v>73</v>
      </c>
    </row>
    <row r="35" spans="1:8" x14ac:dyDescent="0.2">
      <c r="A35">
        <v>17</v>
      </c>
      <c r="B35" t="s">
        <v>64</v>
      </c>
      <c r="C35">
        <v>6</v>
      </c>
      <c r="D35">
        <v>10</v>
      </c>
      <c r="E35">
        <v>7</v>
      </c>
      <c r="F35">
        <v>5.8837907139999803</v>
      </c>
      <c r="G35" t="b">
        <v>1</v>
      </c>
      <c r="H35" t="s">
        <v>65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7</v>
      </c>
      <c r="F36">
        <v>6.7998741359999997</v>
      </c>
      <c r="G36" t="b">
        <v>1</v>
      </c>
      <c r="H36" t="s">
        <v>228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6</v>
      </c>
      <c r="F37">
        <v>5.8766580580000003</v>
      </c>
      <c r="G37" t="b">
        <v>1</v>
      </c>
      <c r="H37" t="s">
        <v>229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7</v>
      </c>
      <c r="F38">
        <v>6.9526120599999999</v>
      </c>
      <c r="G38" t="b">
        <v>1</v>
      </c>
      <c r="H38" t="s">
        <v>230</v>
      </c>
    </row>
    <row r="39" spans="1:8" x14ac:dyDescent="0.2">
      <c r="A39">
        <v>21</v>
      </c>
      <c r="B39" t="s">
        <v>78</v>
      </c>
      <c r="C39">
        <v>7</v>
      </c>
      <c r="D39">
        <v>15</v>
      </c>
      <c r="E39">
        <v>10</v>
      </c>
      <c r="F39">
        <v>14.261532551</v>
      </c>
      <c r="G39" t="b">
        <v>1</v>
      </c>
      <c r="H39" t="s">
        <v>231</v>
      </c>
    </row>
    <row r="40" spans="1:8" x14ac:dyDescent="0.2">
      <c r="A40">
        <v>22</v>
      </c>
      <c r="B40" t="s">
        <v>80</v>
      </c>
      <c r="C40">
        <v>7</v>
      </c>
      <c r="D40">
        <v>14</v>
      </c>
      <c r="E40">
        <v>9</v>
      </c>
      <c r="F40">
        <v>13.807307552999999</v>
      </c>
      <c r="G40" t="b">
        <v>1</v>
      </c>
      <c r="H40" t="s">
        <v>232</v>
      </c>
    </row>
    <row r="41" spans="1:8" x14ac:dyDescent="0.2">
      <c r="A41">
        <v>23</v>
      </c>
      <c r="B41" t="s">
        <v>82</v>
      </c>
      <c r="C41">
        <v>7</v>
      </c>
      <c r="D41">
        <v>14</v>
      </c>
      <c r="E41">
        <v>10</v>
      </c>
      <c r="F41">
        <v>13.475793205999899</v>
      </c>
      <c r="G41" t="b">
        <v>1</v>
      </c>
      <c r="H41" t="s">
        <v>233</v>
      </c>
    </row>
    <row r="42" spans="1:8" x14ac:dyDescent="0.2">
      <c r="A42">
        <v>24</v>
      </c>
      <c r="B42" t="s">
        <v>74</v>
      </c>
      <c r="C42">
        <v>7</v>
      </c>
      <c r="D42">
        <v>14</v>
      </c>
      <c r="E42">
        <v>10</v>
      </c>
      <c r="F42">
        <v>12.9684556949999</v>
      </c>
      <c r="G42" t="b">
        <v>1</v>
      </c>
      <c r="H42" t="s">
        <v>234</v>
      </c>
    </row>
    <row r="43" spans="1:8" x14ac:dyDescent="0.2">
      <c r="A43">
        <v>25</v>
      </c>
      <c r="B43" t="s">
        <v>76</v>
      </c>
      <c r="C43">
        <v>7</v>
      </c>
      <c r="D43">
        <v>14</v>
      </c>
      <c r="E43">
        <v>9</v>
      </c>
      <c r="F43">
        <v>12.626585557999899</v>
      </c>
      <c r="G43" t="b">
        <v>1</v>
      </c>
      <c r="H43" t="s">
        <v>235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2074-4F38-4B40-977E-483711EC8323}">
  <dimension ref="A1:H43"/>
  <sheetViews>
    <sheetView workbookViewId="0">
      <selection activeCell="Q30" sqref="Q30"/>
    </sheetView>
  </sheetViews>
  <sheetFormatPr baseColWidth="10" defaultRowHeight="16" x14ac:dyDescent="0.2"/>
  <sheetData>
    <row r="1" spans="1:1" x14ac:dyDescent="0.2">
      <c r="A1" t="s">
        <v>215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216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0.26687817300262301</v>
      </c>
      <c r="G19" t="b">
        <v>1</v>
      </c>
      <c r="H19" t="s">
        <v>57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5.1892019982915302E-3</v>
      </c>
      <c r="G20" t="b">
        <v>1</v>
      </c>
      <c r="H20" t="s">
        <v>56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4.89031100005377E-3</v>
      </c>
      <c r="G21" t="b">
        <v>1</v>
      </c>
      <c r="H21" t="s">
        <v>50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5.2878489950671697E-3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4.9220410000998501E-3</v>
      </c>
      <c r="G23" t="b">
        <v>1</v>
      </c>
      <c r="H23" t="s">
        <v>52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0.224963374988874</v>
      </c>
      <c r="G24" t="b">
        <v>1</v>
      </c>
      <c r="H24" t="s">
        <v>55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5</v>
      </c>
      <c r="F25">
        <v>0.21538706601131699</v>
      </c>
      <c r="G25" t="b">
        <v>1</v>
      </c>
      <c r="H25" t="s">
        <v>54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8.87083100678864E-3</v>
      </c>
      <c r="G26" t="b">
        <v>1</v>
      </c>
      <c r="H26" t="s">
        <v>51</v>
      </c>
    </row>
    <row r="27" spans="1:8" x14ac:dyDescent="0.2">
      <c r="A27">
        <v>9</v>
      </c>
      <c r="B27" t="s">
        <v>36</v>
      </c>
      <c r="C27">
        <v>4</v>
      </c>
      <c r="D27">
        <v>5</v>
      </c>
      <c r="E27">
        <v>5</v>
      </c>
      <c r="F27">
        <v>0.21193926499108701</v>
      </c>
      <c r="G27" t="b">
        <v>1</v>
      </c>
      <c r="H27" t="s">
        <v>53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0.22593841700290701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5</v>
      </c>
      <c r="F29">
        <v>20.342198284008099</v>
      </c>
      <c r="G29" t="b">
        <v>1</v>
      </c>
      <c r="H29" t="s">
        <v>62</v>
      </c>
    </row>
    <row r="30" spans="1:8" x14ac:dyDescent="0.2">
      <c r="A30">
        <v>12</v>
      </c>
      <c r="B30" t="s">
        <v>28</v>
      </c>
      <c r="C30">
        <v>5</v>
      </c>
      <c r="D30">
        <v>8</v>
      </c>
      <c r="E30">
        <v>5</v>
      </c>
      <c r="F30">
        <v>19.2966937439923</v>
      </c>
      <c r="G30" t="b">
        <v>1</v>
      </c>
      <c r="H30" t="s">
        <v>61</v>
      </c>
    </row>
    <row r="31" spans="1:8" x14ac:dyDescent="0.2">
      <c r="A31">
        <v>13</v>
      </c>
      <c r="B31" t="s">
        <v>20</v>
      </c>
      <c r="C31">
        <v>5</v>
      </c>
      <c r="D31">
        <v>7</v>
      </c>
      <c r="E31">
        <v>7</v>
      </c>
      <c r="F31">
        <v>7.23536497900204</v>
      </c>
      <c r="G31" t="b">
        <v>1</v>
      </c>
      <c r="H31" t="s">
        <v>59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6</v>
      </c>
      <c r="F32">
        <v>12.437876928001</v>
      </c>
      <c r="G32" t="b">
        <v>1</v>
      </c>
      <c r="H32" t="s">
        <v>60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1.2013431390078</v>
      </c>
      <c r="G33" t="b">
        <v>1</v>
      </c>
      <c r="H33" t="s">
        <v>58</v>
      </c>
    </row>
    <row r="34" spans="1:8" x14ac:dyDescent="0.2">
      <c r="A34">
        <v>16</v>
      </c>
      <c r="B34" t="s">
        <v>72</v>
      </c>
      <c r="C34">
        <v>6</v>
      </c>
      <c r="D34">
        <v>11</v>
      </c>
      <c r="E34">
        <v>8</v>
      </c>
      <c r="F34">
        <v>58.988703245995502</v>
      </c>
      <c r="G34" t="b">
        <v>1</v>
      </c>
      <c r="H34" t="s">
        <v>73</v>
      </c>
    </row>
    <row r="35" spans="1:8" x14ac:dyDescent="0.2">
      <c r="A35">
        <v>17</v>
      </c>
      <c r="B35" t="s">
        <v>64</v>
      </c>
      <c r="C35">
        <v>6</v>
      </c>
      <c r="D35">
        <v>10</v>
      </c>
      <c r="E35">
        <v>7</v>
      </c>
      <c r="F35">
        <v>48.464804148010401</v>
      </c>
      <c r="G35" t="b">
        <v>1</v>
      </c>
      <c r="H35" t="s">
        <v>65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7</v>
      </c>
      <c r="F36">
        <v>58.128872372995801</v>
      </c>
      <c r="G36" t="b">
        <v>1</v>
      </c>
      <c r="H36" t="s">
        <v>71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8</v>
      </c>
      <c r="F37">
        <v>49.511999939000802</v>
      </c>
      <c r="G37" t="b">
        <v>1</v>
      </c>
      <c r="H37" t="s">
        <v>67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10</v>
      </c>
      <c r="F38">
        <v>58.569808012994997</v>
      </c>
      <c r="G38" t="b">
        <v>1</v>
      </c>
      <c r="H38" t="s">
        <v>69</v>
      </c>
    </row>
    <row r="39" spans="1:8" x14ac:dyDescent="0.2">
      <c r="A39">
        <v>21</v>
      </c>
      <c r="B39" t="s">
        <v>78</v>
      </c>
      <c r="C39">
        <v>7</v>
      </c>
      <c r="D39">
        <v>14</v>
      </c>
      <c r="E39">
        <v>8</v>
      </c>
      <c r="F39">
        <v>121.05312345699301</v>
      </c>
      <c r="G39" t="b">
        <v>1</v>
      </c>
      <c r="H39" t="s">
        <v>79</v>
      </c>
    </row>
    <row r="40" spans="1:8" x14ac:dyDescent="0.2">
      <c r="A40">
        <v>22</v>
      </c>
      <c r="B40" t="s">
        <v>80</v>
      </c>
      <c r="C40">
        <v>7</v>
      </c>
      <c r="D40">
        <v>14</v>
      </c>
      <c r="E40">
        <v>8</v>
      </c>
      <c r="F40">
        <v>122.00171937400501</v>
      </c>
      <c r="G40" t="b">
        <v>1</v>
      </c>
      <c r="H40" t="s">
        <v>81</v>
      </c>
    </row>
    <row r="41" spans="1:8" x14ac:dyDescent="0.2">
      <c r="A41">
        <v>23</v>
      </c>
      <c r="B41" t="s">
        <v>82</v>
      </c>
      <c r="C41">
        <v>7</v>
      </c>
      <c r="D41">
        <v>14</v>
      </c>
      <c r="E41">
        <v>8</v>
      </c>
      <c r="F41">
        <v>121.51805140499999</v>
      </c>
      <c r="G41" t="b">
        <v>1</v>
      </c>
      <c r="H41" t="s">
        <v>83</v>
      </c>
    </row>
    <row r="42" spans="1:8" x14ac:dyDescent="0.2">
      <c r="A42">
        <v>24</v>
      </c>
      <c r="B42" t="s">
        <v>74</v>
      </c>
      <c r="C42">
        <v>7</v>
      </c>
      <c r="D42">
        <v>13</v>
      </c>
      <c r="E42">
        <v>10</v>
      </c>
      <c r="F42">
        <v>106.46446369099399</v>
      </c>
      <c r="G42" t="b">
        <v>1</v>
      </c>
      <c r="H42" t="s">
        <v>75</v>
      </c>
    </row>
    <row r="43" spans="1:8" x14ac:dyDescent="0.2">
      <c r="A43">
        <v>25</v>
      </c>
      <c r="B43" t="s">
        <v>76</v>
      </c>
      <c r="C43">
        <v>7</v>
      </c>
      <c r="D43">
        <v>14</v>
      </c>
      <c r="E43">
        <v>10</v>
      </c>
      <c r="F43">
        <v>116.688770006003</v>
      </c>
      <c r="G43" t="b">
        <v>1</v>
      </c>
      <c r="H43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A705-E459-214E-8F8E-2061A5DC8DB9}">
  <dimension ref="A1:H43"/>
  <sheetViews>
    <sheetView workbookViewId="0">
      <selection sqref="A1:H44"/>
    </sheetView>
  </sheetViews>
  <sheetFormatPr baseColWidth="10" defaultRowHeight="16" x14ac:dyDescent="0.2"/>
  <sheetData>
    <row r="1" spans="1:1" x14ac:dyDescent="0.2">
      <c r="A1" t="s">
        <v>215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217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0.29327327699866101</v>
      </c>
      <c r="G19" t="b">
        <v>1</v>
      </c>
      <c r="H19" t="s">
        <v>35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6.3735110015841201E-3</v>
      </c>
      <c r="G20" t="b">
        <v>1</v>
      </c>
      <c r="H20" t="s">
        <v>39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6.09677399916108E-3</v>
      </c>
      <c r="G21" t="b">
        <v>1</v>
      </c>
      <c r="H21" t="s">
        <v>27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6.3444380066357501E-3</v>
      </c>
      <c r="G22" t="b">
        <v>1</v>
      </c>
      <c r="H22" t="s">
        <v>33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6.2606040009995896E-3</v>
      </c>
      <c r="G23" t="b">
        <v>1</v>
      </c>
      <c r="H23" t="s">
        <v>41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1.8815054994774899E-2</v>
      </c>
      <c r="G24" t="b">
        <v>1</v>
      </c>
      <c r="H24" t="s">
        <v>45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3</v>
      </c>
      <c r="F25">
        <v>1.5849449991946998E-2</v>
      </c>
      <c r="G25" t="b">
        <v>1</v>
      </c>
      <c r="H25" t="s">
        <v>19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1.00567329936893E-2</v>
      </c>
      <c r="G26" t="b">
        <v>1</v>
      </c>
      <c r="H26" t="s">
        <v>23</v>
      </c>
    </row>
    <row r="27" spans="1:8" x14ac:dyDescent="0.2">
      <c r="A27">
        <v>9</v>
      </c>
      <c r="B27" t="s">
        <v>36</v>
      </c>
      <c r="C27">
        <v>4</v>
      </c>
      <c r="D27">
        <v>6</v>
      </c>
      <c r="E27">
        <v>5</v>
      </c>
      <c r="F27">
        <v>1.9689716005814199E-2</v>
      </c>
      <c r="G27" t="b">
        <v>1</v>
      </c>
      <c r="H27" t="s">
        <v>37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3</v>
      </c>
      <c r="F28">
        <v>1.65187490056268E-2</v>
      </c>
      <c r="G28" t="b">
        <v>1</v>
      </c>
      <c r="H28" t="s">
        <v>31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6</v>
      </c>
      <c r="F29">
        <v>3.5317789996042799E-2</v>
      </c>
      <c r="G29" t="b">
        <v>1</v>
      </c>
      <c r="H29" t="s">
        <v>47</v>
      </c>
    </row>
    <row r="30" spans="1:8" x14ac:dyDescent="0.2">
      <c r="A30">
        <v>12</v>
      </c>
      <c r="B30" t="s">
        <v>28</v>
      </c>
      <c r="C30">
        <v>5</v>
      </c>
      <c r="D30">
        <v>9</v>
      </c>
      <c r="E30">
        <v>9</v>
      </c>
      <c r="F30">
        <v>4.65622839983552E-2</v>
      </c>
      <c r="G30" t="b">
        <v>1</v>
      </c>
      <c r="H30" t="s">
        <v>29</v>
      </c>
    </row>
    <row r="31" spans="1:8" x14ac:dyDescent="0.2">
      <c r="A31">
        <v>13</v>
      </c>
      <c r="B31" t="s">
        <v>20</v>
      </c>
      <c r="C31">
        <v>5</v>
      </c>
      <c r="D31">
        <v>8</v>
      </c>
      <c r="E31">
        <v>7</v>
      </c>
      <c r="F31">
        <v>3.5986709990538601E-2</v>
      </c>
      <c r="G31" t="b">
        <v>1</v>
      </c>
      <c r="H31" t="s">
        <v>21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7</v>
      </c>
      <c r="F32">
        <v>2.7693302006809899E-2</v>
      </c>
      <c r="G32" t="b">
        <v>1</v>
      </c>
      <c r="H32" t="s">
        <v>25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5</v>
      </c>
      <c r="F33">
        <v>2.6351939013693398E-2</v>
      </c>
      <c r="G33" t="b">
        <v>1</v>
      </c>
      <c r="H33" t="s">
        <v>43</v>
      </c>
    </row>
    <row r="34" spans="1:8" x14ac:dyDescent="0.2">
      <c r="A34">
        <v>16</v>
      </c>
      <c r="B34" t="s">
        <v>72</v>
      </c>
      <c r="C34">
        <v>6</v>
      </c>
      <c r="D34">
        <v>12</v>
      </c>
      <c r="E34">
        <v>12</v>
      </c>
      <c r="F34">
        <v>8.942724399094E-2</v>
      </c>
      <c r="G34" t="b">
        <v>1</v>
      </c>
      <c r="H34" t="s">
        <v>133</v>
      </c>
    </row>
    <row r="35" spans="1:8" x14ac:dyDescent="0.2">
      <c r="A35">
        <v>17</v>
      </c>
      <c r="B35" t="s">
        <v>64</v>
      </c>
      <c r="C35">
        <v>6</v>
      </c>
      <c r="D35">
        <v>12</v>
      </c>
      <c r="E35">
        <v>8</v>
      </c>
      <c r="F35">
        <v>9.6737505999044501E-2</v>
      </c>
      <c r="G35" t="b">
        <v>1</v>
      </c>
      <c r="H35" t="s">
        <v>128</v>
      </c>
    </row>
    <row r="36" spans="1:8" x14ac:dyDescent="0.2">
      <c r="A36">
        <v>18</v>
      </c>
      <c r="B36" t="s">
        <v>70</v>
      </c>
      <c r="C36">
        <v>6</v>
      </c>
      <c r="D36">
        <v>11</v>
      </c>
      <c r="E36">
        <v>8</v>
      </c>
      <c r="F36">
        <v>7.6747715007513706E-2</v>
      </c>
      <c r="G36" t="b">
        <v>1</v>
      </c>
      <c r="H36" t="s">
        <v>129</v>
      </c>
    </row>
    <row r="37" spans="1:8" x14ac:dyDescent="0.2">
      <c r="A37">
        <v>19</v>
      </c>
      <c r="B37" t="s">
        <v>66</v>
      </c>
      <c r="C37">
        <v>6</v>
      </c>
      <c r="D37">
        <v>10</v>
      </c>
      <c r="E37">
        <v>6</v>
      </c>
      <c r="F37">
        <v>7.4906858993927003E-2</v>
      </c>
      <c r="G37" t="b">
        <v>1</v>
      </c>
      <c r="H37" t="s">
        <v>132</v>
      </c>
    </row>
    <row r="38" spans="1:8" x14ac:dyDescent="0.2">
      <c r="A38">
        <v>20</v>
      </c>
      <c r="B38" t="s">
        <v>68</v>
      </c>
      <c r="C38">
        <v>6</v>
      </c>
      <c r="D38">
        <v>11</v>
      </c>
      <c r="E38">
        <v>8</v>
      </c>
      <c r="F38">
        <v>8.3335506002185797E-2</v>
      </c>
      <c r="G38" t="b">
        <v>1</v>
      </c>
      <c r="H38" t="s">
        <v>127</v>
      </c>
    </row>
    <row r="39" spans="1:8" x14ac:dyDescent="0.2">
      <c r="A39">
        <v>21</v>
      </c>
      <c r="B39" t="s">
        <v>78</v>
      </c>
      <c r="C39">
        <v>7</v>
      </c>
      <c r="D39">
        <v>16</v>
      </c>
      <c r="E39">
        <v>10</v>
      </c>
      <c r="F39">
        <v>0.16160088199830999</v>
      </c>
      <c r="G39" t="b">
        <v>1</v>
      </c>
      <c r="H39" t="s">
        <v>131</v>
      </c>
    </row>
    <row r="40" spans="1:8" x14ac:dyDescent="0.2">
      <c r="A40">
        <v>22</v>
      </c>
      <c r="B40" t="s">
        <v>80</v>
      </c>
      <c r="C40">
        <v>7</v>
      </c>
      <c r="D40">
        <v>16</v>
      </c>
      <c r="E40">
        <v>11</v>
      </c>
      <c r="F40">
        <v>0.158681861008517</v>
      </c>
      <c r="G40" t="b">
        <v>1</v>
      </c>
      <c r="H40" t="s">
        <v>130</v>
      </c>
    </row>
    <row r="41" spans="1:8" x14ac:dyDescent="0.2">
      <c r="A41">
        <v>23</v>
      </c>
      <c r="B41" t="s">
        <v>82</v>
      </c>
      <c r="C41">
        <v>7</v>
      </c>
      <c r="D41">
        <v>17</v>
      </c>
      <c r="E41">
        <v>13</v>
      </c>
      <c r="F41">
        <v>0.173657271996489</v>
      </c>
      <c r="G41" t="b">
        <v>1</v>
      </c>
      <c r="H41" t="s">
        <v>134</v>
      </c>
    </row>
    <row r="42" spans="1:8" x14ac:dyDescent="0.2">
      <c r="A42">
        <v>24</v>
      </c>
      <c r="B42" t="s">
        <v>74</v>
      </c>
      <c r="C42">
        <v>7</v>
      </c>
      <c r="D42">
        <v>14</v>
      </c>
      <c r="E42">
        <v>10</v>
      </c>
      <c r="F42">
        <v>0.12209585699019899</v>
      </c>
      <c r="G42" t="b">
        <v>1</v>
      </c>
      <c r="H42" t="s">
        <v>126</v>
      </c>
    </row>
    <row r="43" spans="1:8" x14ac:dyDescent="0.2">
      <c r="A43">
        <v>25</v>
      </c>
      <c r="B43" t="s">
        <v>76</v>
      </c>
      <c r="C43">
        <v>7</v>
      </c>
      <c r="D43">
        <v>16</v>
      </c>
      <c r="E43">
        <v>12</v>
      </c>
      <c r="F43">
        <v>0.14013430499471699</v>
      </c>
      <c r="G43" t="b">
        <v>1</v>
      </c>
      <c r="H43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83FD-2E51-0043-8F00-08D0F6D7E78D}">
  <dimension ref="A1:H43"/>
  <sheetViews>
    <sheetView workbookViewId="0">
      <selection activeCell="F11" sqref="F11"/>
    </sheetView>
  </sheetViews>
  <sheetFormatPr baseColWidth="10" defaultRowHeight="16" x14ac:dyDescent="0.2"/>
  <sheetData>
    <row r="1" spans="1:1" x14ac:dyDescent="0.2">
      <c r="A1" t="s">
        <v>215</v>
      </c>
    </row>
    <row r="2" spans="1:1" x14ac:dyDescent="0.2">
      <c r="A2" t="s">
        <v>182</v>
      </c>
    </row>
    <row r="3" spans="1:1" x14ac:dyDescent="0.2">
      <c r="A3" t="s">
        <v>183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184</v>
      </c>
    </row>
    <row r="17" spans="1:8" x14ac:dyDescent="0.2">
      <c r="A17" t="s">
        <v>218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5</v>
      </c>
      <c r="E19">
        <v>5</v>
      </c>
      <c r="F19">
        <v>2.2223964333534202E-3</v>
      </c>
      <c r="H19" t="s">
        <v>186</v>
      </c>
    </row>
    <row r="20" spans="1:8" x14ac:dyDescent="0.2">
      <c r="A20">
        <v>2</v>
      </c>
      <c r="B20" t="s">
        <v>38</v>
      </c>
      <c r="C20">
        <v>3</v>
      </c>
      <c r="D20">
        <v>5</v>
      </c>
      <c r="E20">
        <v>5</v>
      </c>
      <c r="F20">
        <v>1.5851035714149399E-3</v>
      </c>
      <c r="H20" t="s">
        <v>187</v>
      </c>
    </row>
    <row r="21" spans="1:8" x14ac:dyDescent="0.2">
      <c r="A21">
        <v>3</v>
      </c>
      <c r="B21" t="s">
        <v>26</v>
      </c>
      <c r="C21">
        <v>3</v>
      </c>
      <c r="D21">
        <v>8</v>
      </c>
      <c r="E21">
        <v>8</v>
      </c>
      <c r="F21">
        <v>1.1487454175948999E-3</v>
      </c>
      <c r="H21" t="s">
        <v>188</v>
      </c>
    </row>
    <row r="22" spans="1:8" x14ac:dyDescent="0.2">
      <c r="A22">
        <v>4</v>
      </c>
      <c r="B22" t="s">
        <v>32</v>
      </c>
      <c r="C22">
        <v>3</v>
      </c>
      <c r="D22">
        <v>7</v>
      </c>
      <c r="E22">
        <v>7</v>
      </c>
      <c r="F22">
        <v>1.09477341175079E-3</v>
      </c>
      <c r="H22" t="s">
        <v>189</v>
      </c>
    </row>
    <row r="23" spans="1:8" x14ac:dyDescent="0.2">
      <c r="A23">
        <v>5</v>
      </c>
      <c r="B23" t="s">
        <v>40</v>
      </c>
      <c r="C23">
        <v>3</v>
      </c>
      <c r="D23">
        <v>7</v>
      </c>
      <c r="E23">
        <v>7</v>
      </c>
      <c r="F23">
        <v>2.50927358865737E-3</v>
      </c>
      <c r="H23" t="s">
        <v>190</v>
      </c>
    </row>
    <row r="24" spans="1:8" x14ac:dyDescent="0.2">
      <c r="A24">
        <v>6</v>
      </c>
      <c r="B24" t="s">
        <v>44</v>
      </c>
      <c r="C24">
        <v>4</v>
      </c>
      <c r="D24">
        <v>11</v>
      </c>
      <c r="E24">
        <v>11</v>
      </c>
      <c r="F24">
        <v>1.09263509511947E-3</v>
      </c>
      <c r="H24" t="s">
        <v>191</v>
      </c>
    </row>
    <row r="25" spans="1:8" x14ac:dyDescent="0.2">
      <c r="A25">
        <v>7</v>
      </c>
      <c r="B25" t="s">
        <v>18</v>
      </c>
      <c r="C25">
        <v>4</v>
      </c>
      <c r="D25">
        <v>11</v>
      </c>
      <c r="E25">
        <v>11</v>
      </c>
      <c r="F25">
        <v>1.1446923017501801E-3</v>
      </c>
      <c r="H25" t="s">
        <v>192</v>
      </c>
    </row>
    <row r="26" spans="1:8" x14ac:dyDescent="0.2">
      <c r="A26">
        <v>8</v>
      </c>
      <c r="B26" t="s">
        <v>22</v>
      </c>
      <c r="C26">
        <v>4</v>
      </c>
      <c r="D26">
        <v>7</v>
      </c>
      <c r="E26">
        <v>6</v>
      </c>
      <c r="F26">
        <v>1.2692734599113399E-3</v>
      </c>
      <c r="H26" t="s">
        <v>193</v>
      </c>
    </row>
    <row r="27" spans="1:8" x14ac:dyDescent="0.2">
      <c r="A27">
        <v>9</v>
      </c>
      <c r="B27" t="s">
        <v>36</v>
      </c>
      <c r="C27">
        <v>4</v>
      </c>
      <c r="D27">
        <v>13</v>
      </c>
      <c r="E27">
        <v>12</v>
      </c>
      <c r="F27">
        <v>1.0580942034721301E-3</v>
      </c>
      <c r="H27" t="s">
        <v>194</v>
      </c>
    </row>
    <row r="28" spans="1:8" x14ac:dyDescent="0.2">
      <c r="A28">
        <v>10</v>
      </c>
      <c r="B28" t="s">
        <v>30</v>
      </c>
      <c r="C28">
        <v>4</v>
      </c>
      <c r="D28">
        <v>8</v>
      </c>
      <c r="E28">
        <v>8</v>
      </c>
      <c r="F28">
        <v>1.13124400377273E-3</v>
      </c>
      <c r="H28" t="s">
        <v>195</v>
      </c>
    </row>
    <row r="29" spans="1:8" x14ac:dyDescent="0.2">
      <c r="A29">
        <v>11</v>
      </c>
      <c r="B29" t="s">
        <v>46</v>
      </c>
      <c r="C29">
        <v>5</v>
      </c>
      <c r="D29">
        <v>17</v>
      </c>
      <c r="E29">
        <v>17</v>
      </c>
      <c r="F29">
        <v>1.595139503479E-3</v>
      </c>
      <c r="H29" t="s">
        <v>196</v>
      </c>
    </row>
    <row r="30" spans="1:8" x14ac:dyDescent="0.2">
      <c r="A30">
        <v>12</v>
      </c>
      <c r="B30" t="s">
        <v>28</v>
      </c>
      <c r="C30">
        <v>5</v>
      </c>
      <c r="D30">
        <v>20</v>
      </c>
      <c r="E30">
        <v>20</v>
      </c>
      <c r="F30">
        <v>1.66528671979904E-3</v>
      </c>
      <c r="H30" t="s">
        <v>197</v>
      </c>
    </row>
    <row r="31" spans="1:8" x14ac:dyDescent="0.2">
      <c r="A31">
        <v>13</v>
      </c>
      <c r="B31" t="s">
        <v>20</v>
      </c>
      <c r="C31">
        <v>5</v>
      </c>
      <c r="D31">
        <v>22</v>
      </c>
      <c r="E31">
        <v>21</v>
      </c>
      <c r="F31">
        <v>1.64379179477691E-3</v>
      </c>
      <c r="H31" t="s">
        <v>198</v>
      </c>
    </row>
    <row r="32" spans="1:8" x14ac:dyDescent="0.2">
      <c r="A32">
        <v>14</v>
      </c>
      <c r="B32" t="s">
        <v>24</v>
      </c>
      <c r="C32">
        <v>5</v>
      </c>
      <c r="D32">
        <v>21</v>
      </c>
      <c r="E32">
        <v>20</v>
      </c>
      <c r="F32">
        <v>1.55135989189147E-3</v>
      </c>
      <c r="H32" t="s">
        <v>199</v>
      </c>
    </row>
    <row r="33" spans="1:8" x14ac:dyDescent="0.2">
      <c r="A33">
        <v>15</v>
      </c>
      <c r="B33" t="s">
        <v>42</v>
      </c>
      <c r="C33">
        <v>5</v>
      </c>
      <c r="D33">
        <v>20</v>
      </c>
      <c r="E33">
        <v>19</v>
      </c>
      <c r="F33">
        <v>1.7105415463447499E-3</v>
      </c>
      <c r="H33" t="s">
        <v>200</v>
      </c>
    </row>
    <row r="34" spans="1:8" x14ac:dyDescent="0.2">
      <c r="A34">
        <v>16</v>
      </c>
      <c r="B34" t="s">
        <v>72</v>
      </c>
      <c r="C34">
        <v>6</v>
      </c>
      <c r="D34">
        <v>32</v>
      </c>
      <c r="E34">
        <v>30</v>
      </c>
      <c r="F34">
        <v>2.17290222644805E-3</v>
      </c>
      <c r="H34" t="s">
        <v>201</v>
      </c>
    </row>
    <row r="35" spans="1:8" x14ac:dyDescent="0.2">
      <c r="A35">
        <v>17</v>
      </c>
      <c r="B35" t="s">
        <v>64</v>
      </c>
      <c r="C35">
        <v>6</v>
      </c>
      <c r="D35">
        <v>28</v>
      </c>
      <c r="E35">
        <v>27</v>
      </c>
      <c r="F35">
        <v>2.06924974918365E-3</v>
      </c>
      <c r="H35" t="s">
        <v>202</v>
      </c>
    </row>
    <row r="36" spans="1:8" x14ac:dyDescent="0.2">
      <c r="A36">
        <v>18</v>
      </c>
      <c r="B36" t="s">
        <v>70</v>
      </c>
      <c r="C36">
        <v>6</v>
      </c>
      <c r="D36">
        <v>30</v>
      </c>
      <c r="E36">
        <v>29</v>
      </c>
      <c r="F36">
        <v>2.20866501331329E-3</v>
      </c>
      <c r="H36" t="s">
        <v>203</v>
      </c>
    </row>
    <row r="37" spans="1:8" x14ac:dyDescent="0.2">
      <c r="A37">
        <v>19</v>
      </c>
      <c r="B37" t="s">
        <v>66</v>
      </c>
      <c r="C37">
        <v>6</v>
      </c>
      <c r="D37">
        <v>21</v>
      </c>
      <c r="E37">
        <v>18</v>
      </c>
      <c r="F37">
        <v>2.0149797201156599E-3</v>
      </c>
      <c r="H37" t="s">
        <v>204</v>
      </c>
    </row>
    <row r="38" spans="1:8" x14ac:dyDescent="0.2">
      <c r="A38">
        <v>20</v>
      </c>
      <c r="B38" t="s">
        <v>68</v>
      </c>
      <c r="C38">
        <v>6</v>
      </c>
      <c r="D38">
        <v>28</v>
      </c>
      <c r="E38">
        <v>24</v>
      </c>
      <c r="F38">
        <v>2.0619928836822501E-3</v>
      </c>
      <c r="H38" t="s">
        <v>205</v>
      </c>
    </row>
    <row r="39" spans="1:8" x14ac:dyDescent="0.2">
      <c r="A39">
        <v>21</v>
      </c>
      <c r="B39" t="s">
        <v>78</v>
      </c>
      <c r="C39">
        <v>7</v>
      </c>
      <c r="D39">
        <v>39</v>
      </c>
      <c r="E39">
        <v>38</v>
      </c>
      <c r="F39">
        <v>2.44369357824325E-3</v>
      </c>
      <c r="H39" t="s">
        <v>206</v>
      </c>
    </row>
    <row r="40" spans="1:8" x14ac:dyDescent="0.2">
      <c r="A40">
        <v>22</v>
      </c>
      <c r="B40" t="s">
        <v>80</v>
      </c>
      <c r="C40">
        <v>7</v>
      </c>
      <c r="D40">
        <v>44</v>
      </c>
      <c r="E40">
        <v>42</v>
      </c>
      <c r="F40">
        <v>2.64126062393188E-3</v>
      </c>
      <c r="H40" t="s">
        <v>207</v>
      </c>
    </row>
    <row r="41" spans="1:8" x14ac:dyDescent="0.2">
      <c r="A41">
        <v>23</v>
      </c>
      <c r="B41" t="s">
        <v>82</v>
      </c>
      <c r="C41">
        <v>7</v>
      </c>
      <c r="D41">
        <v>42</v>
      </c>
      <c r="E41">
        <v>39</v>
      </c>
      <c r="F41">
        <v>2.6251673698425202E-3</v>
      </c>
      <c r="H41" t="s">
        <v>208</v>
      </c>
    </row>
    <row r="42" spans="1:8" x14ac:dyDescent="0.2">
      <c r="A42">
        <v>24</v>
      </c>
      <c r="B42" t="s">
        <v>74</v>
      </c>
      <c r="C42">
        <v>7</v>
      </c>
      <c r="D42">
        <v>35</v>
      </c>
      <c r="E42">
        <v>33</v>
      </c>
      <c r="F42">
        <v>2.5752335786819402E-3</v>
      </c>
      <c r="H42" t="s">
        <v>209</v>
      </c>
    </row>
    <row r="43" spans="1:8" x14ac:dyDescent="0.2">
      <c r="A43">
        <v>25</v>
      </c>
      <c r="B43" t="s">
        <v>76</v>
      </c>
      <c r="C43">
        <v>7</v>
      </c>
      <c r="D43">
        <v>40</v>
      </c>
      <c r="E43">
        <v>37</v>
      </c>
      <c r="F43">
        <v>2.6441588997840799E-3</v>
      </c>
      <c r="H43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D1CB-B504-0141-94F8-B3F5493F164D}">
  <dimension ref="A1:H43"/>
  <sheetViews>
    <sheetView workbookViewId="0">
      <selection activeCell="F9" sqref="F9"/>
    </sheetView>
  </sheetViews>
  <sheetFormatPr baseColWidth="10" defaultRowHeight="16" x14ac:dyDescent="0.2"/>
  <sheetData>
    <row r="1" spans="1:1" x14ac:dyDescent="0.2">
      <c r="A1" t="s">
        <v>248</v>
      </c>
    </row>
    <row r="2" spans="1:1" x14ac:dyDescent="0.2">
      <c r="A2" t="s">
        <v>249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250</v>
      </c>
    </row>
    <row r="18" spans="1:8" x14ac:dyDescent="0.2">
      <c r="A18" t="s">
        <v>17</v>
      </c>
    </row>
    <row r="19" spans="1:8" x14ac:dyDescent="0.2">
      <c r="A19">
        <v>1</v>
      </c>
      <c r="B19" t="s">
        <v>34</v>
      </c>
      <c r="C19">
        <v>3</v>
      </c>
      <c r="D19">
        <v>2</v>
      </c>
      <c r="E19">
        <v>2</v>
      </c>
      <c r="F19">
        <v>1.0961707997921601E-2</v>
      </c>
      <c r="G19" t="b">
        <v>1</v>
      </c>
      <c r="H19" t="s">
        <v>251</v>
      </c>
    </row>
    <row r="20" spans="1:8" x14ac:dyDescent="0.2">
      <c r="A20">
        <v>2</v>
      </c>
      <c r="B20" t="s">
        <v>38</v>
      </c>
      <c r="C20">
        <v>3</v>
      </c>
      <c r="D20">
        <v>3</v>
      </c>
      <c r="E20">
        <v>3</v>
      </c>
      <c r="F20">
        <v>1.35912499899859E-3</v>
      </c>
      <c r="G20" t="b">
        <v>1</v>
      </c>
      <c r="H20" t="s">
        <v>39</v>
      </c>
    </row>
    <row r="21" spans="1:8" x14ac:dyDescent="0.2">
      <c r="A21">
        <v>3</v>
      </c>
      <c r="B21" t="s">
        <v>26</v>
      </c>
      <c r="C21">
        <v>3</v>
      </c>
      <c r="D21">
        <v>3</v>
      </c>
      <c r="E21">
        <v>3</v>
      </c>
      <c r="F21">
        <v>1.3523329980671399E-3</v>
      </c>
      <c r="G21" t="b">
        <v>1</v>
      </c>
      <c r="H21" t="s">
        <v>252</v>
      </c>
    </row>
    <row r="22" spans="1:8" x14ac:dyDescent="0.2">
      <c r="A22">
        <v>4</v>
      </c>
      <c r="B22" t="s">
        <v>32</v>
      </c>
      <c r="C22">
        <v>3</v>
      </c>
      <c r="D22">
        <v>3</v>
      </c>
      <c r="E22">
        <v>3</v>
      </c>
      <c r="F22">
        <v>1.2819580006180301E-3</v>
      </c>
      <c r="G22" t="b">
        <v>1</v>
      </c>
      <c r="H22" t="s">
        <v>253</v>
      </c>
    </row>
    <row r="23" spans="1:8" x14ac:dyDescent="0.2">
      <c r="A23">
        <v>5</v>
      </c>
      <c r="B23" t="s">
        <v>40</v>
      </c>
      <c r="C23">
        <v>3</v>
      </c>
      <c r="D23">
        <v>3</v>
      </c>
      <c r="E23">
        <v>3</v>
      </c>
      <c r="F23">
        <v>1.0659170002327301E-3</v>
      </c>
      <c r="G23" t="b">
        <v>1</v>
      </c>
      <c r="H23" t="s">
        <v>254</v>
      </c>
    </row>
    <row r="24" spans="1:8" x14ac:dyDescent="0.2">
      <c r="A24">
        <v>6</v>
      </c>
      <c r="B24" t="s">
        <v>44</v>
      </c>
      <c r="C24">
        <v>4</v>
      </c>
      <c r="D24">
        <v>5</v>
      </c>
      <c r="E24">
        <v>5</v>
      </c>
      <c r="F24">
        <v>2.8326659994490902E-3</v>
      </c>
      <c r="G24" t="b">
        <v>1</v>
      </c>
      <c r="H24" t="s">
        <v>255</v>
      </c>
    </row>
    <row r="25" spans="1:8" x14ac:dyDescent="0.2">
      <c r="A25">
        <v>7</v>
      </c>
      <c r="B25" t="s">
        <v>18</v>
      </c>
      <c r="C25">
        <v>4</v>
      </c>
      <c r="D25">
        <v>5</v>
      </c>
      <c r="E25">
        <v>5</v>
      </c>
      <c r="F25">
        <v>1.15045900020049E-3</v>
      </c>
      <c r="G25" t="b">
        <v>1</v>
      </c>
      <c r="H25" t="s">
        <v>256</v>
      </c>
    </row>
    <row r="26" spans="1:8" x14ac:dyDescent="0.2">
      <c r="A26">
        <v>8</v>
      </c>
      <c r="B26" t="s">
        <v>22</v>
      </c>
      <c r="C26">
        <v>4</v>
      </c>
      <c r="D26">
        <v>4</v>
      </c>
      <c r="E26">
        <v>4</v>
      </c>
      <c r="F26">
        <v>1.1724590003723201E-3</v>
      </c>
      <c r="G26" t="b">
        <v>1</v>
      </c>
      <c r="H26" t="s">
        <v>257</v>
      </c>
    </row>
    <row r="27" spans="1:8" x14ac:dyDescent="0.2">
      <c r="A27">
        <v>9</v>
      </c>
      <c r="B27" t="s">
        <v>36</v>
      </c>
      <c r="C27">
        <v>4</v>
      </c>
      <c r="D27">
        <v>5</v>
      </c>
      <c r="E27">
        <v>5</v>
      </c>
      <c r="F27">
        <v>1.12441699820919E-3</v>
      </c>
      <c r="G27" t="b">
        <v>1</v>
      </c>
      <c r="H27" t="s">
        <v>258</v>
      </c>
    </row>
    <row r="28" spans="1:8" x14ac:dyDescent="0.2">
      <c r="A28">
        <v>10</v>
      </c>
      <c r="B28" t="s">
        <v>30</v>
      </c>
      <c r="C28">
        <v>4</v>
      </c>
      <c r="D28">
        <v>5</v>
      </c>
      <c r="E28">
        <v>5</v>
      </c>
      <c r="F28">
        <v>1.2007080003968401E-3</v>
      </c>
      <c r="G28" t="b">
        <v>1</v>
      </c>
      <c r="H28" t="s">
        <v>259</v>
      </c>
    </row>
    <row r="29" spans="1:8" x14ac:dyDescent="0.2">
      <c r="A29">
        <v>11</v>
      </c>
      <c r="B29" t="s">
        <v>46</v>
      </c>
      <c r="C29">
        <v>5</v>
      </c>
      <c r="D29">
        <v>8</v>
      </c>
      <c r="E29">
        <v>7</v>
      </c>
      <c r="F29">
        <v>4.9482920003356403E-3</v>
      </c>
      <c r="G29" t="b">
        <v>1</v>
      </c>
      <c r="H29" t="s">
        <v>260</v>
      </c>
    </row>
    <row r="30" spans="1:8" x14ac:dyDescent="0.2">
      <c r="A30">
        <v>12</v>
      </c>
      <c r="B30" t="s">
        <v>28</v>
      </c>
      <c r="C30">
        <v>5</v>
      </c>
      <c r="D30">
        <v>8</v>
      </c>
      <c r="E30">
        <v>8</v>
      </c>
      <c r="F30">
        <v>3.4676670002227101E-3</v>
      </c>
      <c r="G30" t="b">
        <v>1</v>
      </c>
      <c r="H30" t="s">
        <v>261</v>
      </c>
    </row>
    <row r="31" spans="1:8" x14ac:dyDescent="0.2">
      <c r="A31">
        <v>13</v>
      </c>
      <c r="B31" t="s">
        <v>20</v>
      </c>
      <c r="C31">
        <v>5</v>
      </c>
      <c r="D31">
        <v>7</v>
      </c>
      <c r="E31">
        <v>7</v>
      </c>
      <c r="F31">
        <v>2.9669579998880999E-3</v>
      </c>
      <c r="G31" t="b">
        <v>1</v>
      </c>
      <c r="H31" t="s">
        <v>262</v>
      </c>
    </row>
    <row r="32" spans="1:8" x14ac:dyDescent="0.2">
      <c r="A32">
        <v>14</v>
      </c>
      <c r="B32" t="s">
        <v>24</v>
      </c>
      <c r="C32">
        <v>5</v>
      </c>
      <c r="D32">
        <v>7</v>
      </c>
      <c r="E32">
        <v>5</v>
      </c>
      <c r="F32">
        <v>2.2772920019633598E-3</v>
      </c>
      <c r="G32" t="b">
        <v>1</v>
      </c>
      <c r="H32" t="s">
        <v>263</v>
      </c>
    </row>
    <row r="33" spans="1:8" x14ac:dyDescent="0.2">
      <c r="A33">
        <v>15</v>
      </c>
      <c r="B33" t="s">
        <v>42</v>
      </c>
      <c r="C33">
        <v>5</v>
      </c>
      <c r="D33">
        <v>6</v>
      </c>
      <c r="E33">
        <v>6</v>
      </c>
      <c r="F33">
        <v>2.30366600226261E-3</v>
      </c>
      <c r="G33" t="b">
        <v>1</v>
      </c>
      <c r="H33" t="s">
        <v>264</v>
      </c>
    </row>
    <row r="34" spans="1:8" x14ac:dyDescent="0.2">
      <c r="A34">
        <v>16</v>
      </c>
      <c r="B34" t="s">
        <v>72</v>
      </c>
      <c r="C34">
        <v>6</v>
      </c>
      <c r="D34">
        <v>0</v>
      </c>
      <c r="E34">
        <v>0</v>
      </c>
      <c r="F34">
        <v>6.8129199644317796E-4</v>
      </c>
      <c r="G34" t="b">
        <v>0</v>
      </c>
    </row>
    <row r="35" spans="1:8" x14ac:dyDescent="0.2">
      <c r="A35">
        <v>17</v>
      </c>
      <c r="B35" t="s">
        <v>64</v>
      </c>
      <c r="C35">
        <v>6</v>
      </c>
      <c r="D35">
        <v>0</v>
      </c>
      <c r="E35">
        <v>0</v>
      </c>
      <c r="F35">
        <v>6.5404099950683303E-4</v>
      </c>
      <c r="G35" t="b">
        <v>0</v>
      </c>
    </row>
    <row r="36" spans="1:8" x14ac:dyDescent="0.2">
      <c r="A36">
        <v>18</v>
      </c>
      <c r="B36" t="s">
        <v>70</v>
      </c>
      <c r="C36">
        <v>6</v>
      </c>
      <c r="D36">
        <v>0</v>
      </c>
      <c r="E36">
        <v>0</v>
      </c>
      <c r="F36">
        <v>6.9791699934285102E-4</v>
      </c>
      <c r="G36" t="b">
        <v>0</v>
      </c>
    </row>
    <row r="37" spans="1:8" x14ac:dyDescent="0.2">
      <c r="A37">
        <v>19</v>
      </c>
      <c r="B37" t="s">
        <v>66</v>
      </c>
      <c r="C37">
        <v>6</v>
      </c>
      <c r="D37">
        <v>0</v>
      </c>
      <c r="E37">
        <v>0</v>
      </c>
      <c r="F37">
        <v>6.5674999859766103E-4</v>
      </c>
      <c r="G37" t="b">
        <v>0</v>
      </c>
    </row>
    <row r="38" spans="1:8" x14ac:dyDescent="0.2">
      <c r="A38">
        <v>20</v>
      </c>
      <c r="B38" t="s">
        <v>68</v>
      </c>
      <c r="C38">
        <v>6</v>
      </c>
      <c r="D38">
        <v>0</v>
      </c>
      <c r="E38">
        <v>0</v>
      </c>
      <c r="F38">
        <v>7.1729200135450799E-4</v>
      </c>
      <c r="G38" t="b">
        <v>0</v>
      </c>
    </row>
    <row r="39" spans="1:8" x14ac:dyDescent="0.2">
      <c r="A39">
        <v>21</v>
      </c>
      <c r="B39" t="s">
        <v>78</v>
      </c>
      <c r="C39">
        <v>7</v>
      </c>
      <c r="D39">
        <v>0</v>
      </c>
      <c r="E39">
        <v>0</v>
      </c>
      <c r="F39">
        <v>8.8974999744095796E-4</v>
      </c>
      <c r="G39" t="b">
        <v>0</v>
      </c>
    </row>
    <row r="40" spans="1:8" x14ac:dyDescent="0.2">
      <c r="A40">
        <v>22</v>
      </c>
      <c r="B40" t="s">
        <v>80</v>
      </c>
      <c r="C40">
        <v>7</v>
      </c>
      <c r="D40">
        <v>0</v>
      </c>
      <c r="E40">
        <v>0</v>
      </c>
      <c r="F40">
        <v>8.0799999705050097E-4</v>
      </c>
      <c r="G40" t="b">
        <v>0</v>
      </c>
    </row>
    <row r="41" spans="1:8" x14ac:dyDescent="0.2">
      <c r="A41">
        <v>23</v>
      </c>
      <c r="B41" t="s">
        <v>82</v>
      </c>
      <c r="C41">
        <v>7</v>
      </c>
      <c r="D41">
        <v>0</v>
      </c>
      <c r="E41">
        <v>0</v>
      </c>
      <c r="F41">
        <v>1.45195799996145E-3</v>
      </c>
      <c r="G41" t="b">
        <v>0</v>
      </c>
    </row>
    <row r="42" spans="1:8" x14ac:dyDescent="0.2">
      <c r="A42">
        <v>24</v>
      </c>
      <c r="B42" t="s">
        <v>74</v>
      </c>
      <c r="C42">
        <v>7</v>
      </c>
      <c r="D42">
        <v>0</v>
      </c>
      <c r="E42">
        <v>0</v>
      </c>
      <c r="F42">
        <v>8.7175000226125099E-4</v>
      </c>
      <c r="G42" t="b">
        <v>0</v>
      </c>
    </row>
    <row r="43" spans="1:8" x14ac:dyDescent="0.2">
      <c r="A43">
        <v>25</v>
      </c>
      <c r="B43" t="s">
        <v>76</v>
      </c>
      <c r="C43">
        <v>7</v>
      </c>
      <c r="D43">
        <v>0</v>
      </c>
      <c r="E43">
        <v>0</v>
      </c>
      <c r="F43">
        <v>8.7170800179592301E-4</v>
      </c>
      <c r="G43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FAC0-F4FD-4641-9DDE-5614059F555C}">
  <dimension ref="A1:H43"/>
  <sheetViews>
    <sheetView topLeftCell="A12" workbookViewId="0">
      <selection activeCell="A19" sqref="A19:XFD4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49</v>
      </c>
    </row>
    <row r="18" spans="1:8" x14ac:dyDescent="0.2">
      <c r="A18" t="s">
        <v>17</v>
      </c>
    </row>
    <row r="19" spans="1:8" x14ac:dyDescent="0.2">
      <c r="A19">
        <v>15</v>
      </c>
      <c r="B19" t="s">
        <v>34</v>
      </c>
      <c r="C19">
        <v>3</v>
      </c>
      <c r="D19">
        <v>2</v>
      </c>
      <c r="E19">
        <v>2</v>
      </c>
      <c r="F19">
        <v>1.1432080063968799E-3</v>
      </c>
      <c r="G19" t="b">
        <v>1</v>
      </c>
      <c r="H19" t="s">
        <v>57</v>
      </c>
    </row>
    <row r="20" spans="1:8" x14ac:dyDescent="0.2">
      <c r="A20">
        <v>14</v>
      </c>
      <c r="B20" t="s">
        <v>38</v>
      </c>
      <c r="C20">
        <v>3</v>
      </c>
      <c r="D20">
        <v>3</v>
      </c>
      <c r="E20">
        <v>3</v>
      </c>
      <c r="F20">
        <v>1.85220804996788E-3</v>
      </c>
      <c r="G20" t="b">
        <v>1</v>
      </c>
      <c r="H20" t="s">
        <v>56</v>
      </c>
    </row>
    <row r="21" spans="1:8" x14ac:dyDescent="0.2">
      <c r="A21">
        <v>5</v>
      </c>
      <c r="B21" t="s">
        <v>26</v>
      </c>
      <c r="C21">
        <v>3</v>
      </c>
      <c r="D21">
        <v>3</v>
      </c>
      <c r="E21">
        <v>3</v>
      </c>
      <c r="F21">
        <v>0.15917570900637601</v>
      </c>
      <c r="G21" t="b">
        <v>1</v>
      </c>
      <c r="H21" t="s">
        <v>50</v>
      </c>
    </row>
    <row r="22" spans="1:8" x14ac:dyDescent="0.2">
      <c r="A22">
        <v>13</v>
      </c>
      <c r="B22" t="s">
        <v>32</v>
      </c>
      <c r="C22">
        <v>3</v>
      </c>
      <c r="D22">
        <v>3</v>
      </c>
      <c r="E22">
        <v>3</v>
      </c>
      <c r="F22">
        <v>1.8407499883323899E-3</v>
      </c>
      <c r="G22" t="b">
        <v>1</v>
      </c>
      <c r="H22" t="s">
        <v>33</v>
      </c>
    </row>
    <row r="23" spans="1:8" x14ac:dyDescent="0.2">
      <c r="A23">
        <v>7</v>
      </c>
      <c r="B23" t="s">
        <v>40</v>
      </c>
      <c r="C23">
        <v>3</v>
      </c>
      <c r="D23">
        <v>3</v>
      </c>
      <c r="E23">
        <v>3</v>
      </c>
      <c r="F23">
        <v>0.14704945904668401</v>
      </c>
      <c r="G23" t="b">
        <v>1</v>
      </c>
      <c r="H23" t="s">
        <v>52</v>
      </c>
    </row>
    <row r="24" spans="1:8" x14ac:dyDescent="0.2">
      <c r="A24">
        <v>4</v>
      </c>
      <c r="B24" t="s">
        <v>44</v>
      </c>
      <c r="C24">
        <v>4</v>
      </c>
      <c r="D24">
        <v>5</v>
      </c>
      <c r="E24">
        <v>5</v>
      </c>
      <c r="F24">
        <v>0.317867583013139</v>
      </c>
      <c r="G24" t="b">
        <v>1</v>
      </c>
      <c r="H24" t="s">
        <v>55</v>
      </c>
    </row>
    <row r="25" spans="1:8" x14ac:dyDescent="0.2">
      <c r="A25">
        <v>2</v>
      </c>
      <c r="B25" t="s">
        <v>18</v>
      </c>
      <c r="C25">
        <v>4</v>
      </c>
      <c r="D25">
        <v>5</v>
      </c>
      <c r="E25">
        <v>5</v>
      </c>
      <c r="F25">
        <v>0.30191483302041799</v>
      </c>
      <c r="G25" t="b">
        <v>1</v>
      </c>
      <c r="H25" t="s">
        <v>54</v>
      </c>
    </row>
    <row r="26" spans="1:8" x14ac:dyDescent="0.2">
      <c r="A26">
        <v>9</v>
      </c>
      <c r="B26" t="s">
        <v>22</v>
      </c>
      <c r="C26">
        <v>4</v>
      </c>
      <c r="D26">
        <v>4</v>
      </c>
      <c r="E26">
        <v>4</v>
      </c>
      <c r="F26">
        <v>7.0140419993549499E-3</v>
      </c>
      <c r="G26" t="b">
        <v>1</v>
      </c>
      <c r="H26" t="s">
        <v>51</v>
      </c>
    </row>
    <row r="27" spans="1:8" x14ac:dyDescent="0.2">
      <c r="A27">
        <v>3</v>
      </c>
      <c r="B27" t="s">
        <v>36</v>
      </c>
      <c r="C27">
        <v>4</v>
      </c>
      <c r="D27">
        <v>5</v>
      </c>
      <c r="E27">
        <v>5</v>
      </c>
      <c r="F27">
        <v>0.29648037499282498</v>
      </c>
      <c r="G27" t="b">
        <v>1</v>
      </c>
      <c r="H27" t="s">
        <v>53</v>
      </c>
    </row>
    <row r="28" spans="1:8" x14ac:dyDescent="0.2">
      <c r="A28">
        <v>6</v>
      </c>
      <c r="B28" t="s">
        <v>30</v>
      </c>
      <c r="C28">
        <v>4</v>
      </c>
      <c r="D28">
        <v>5</v>
      </c>
      <c r="E28">
        <v>3</v>
      </c>
      <c r="F28">
        <v>0.28733524994458998</v>
      </c>
      <c r="G28" t="b">
        <v>1</v>
      </c>
      <c r="H28" t="s">
        <v>31</v>
      </c>
    </row>
    <row r="29" spans="1:8" x14ac:dyDescent="0.2">
      <c r="A29">
        <v>8</v>
      </c>
      <c r="B29" t="s">
        <v>46</v>
      </c>
      <c r="C29">
        <v>5</v>
      </c>
      <c r="D29">
        <v>8</v>
      </c>
      <c r="E29">
        <v>5</v>
      </c>
      <c r="F29">
        <v>8.5863743750378401</v>
      </c>
      <c r="G29" t="b">
        <v>1</v>
      </c>
      <c r="H29" t="s">
        <v>62</v>
      </c>
    </row>
    <row r="30" spans="1:8" x14ac:dyDescent="0.2">
      <c r="A30">
        <v>11</v>
      </c>
      <c r="B30" t="s">
        <v>28</v>
      </c>
      <c r="C30">
        <v>5</v>
      </c>
      <c r="D30">
        <v>8</v>
      </c>
      <c r="E30">
        <v>5</v>
      </c>
      <c r="F30">
        <v>8.1792197920149192</v>
      </c>
      <c r="G30" t="b">
        <v>1</v>
      </c>
      <c r="H30" t="s">
        <v>61</v>
      </c>
    </row>
    <row r="31" spans="1:8" x14ac:dyDescent="0.2">
      <c r="A31">
        <v>1</v>
      </c>
      <c r="B31" t="s">
        <v>20</v>
      </c>
      <c r="C31">
        <v>5</v>
      </c>
      <c r="D31">
        <v>7</v>
      </c>
      <c r="E31">
        <v>7</v>
      </c>
      <c r="F31">
        <v>3.3571845410624501</v>
      </c>
      <c r="G31" t="b">
        <v>1</v>
      </c>
      <c r="H31" t="s">
        <v>59</v>
      </c>
    </row>
    <row r="32" spans="1:8" x14ac:dyDescent="0.2">
      <c r="A32">
        <v>10</v>
      </c>
      <c r="B32" t="s">
        <v>24</v>
      </c>
      <c r="C32">
        <v>5</v>
      </c>
      <c r="D32">
        <v>7</v>
      </c>
      <c r="E32">
        <v>6</v>
      </c>
      <c r="F32">
        <v>5.4314890420064303</v>
      </c>
      <c r="G32" t="b">
        <v>1</v>
      </c>
      <c r="H32" t="s">
        <v>60</v>
      </c>
    </row>
    <row r="33" spans="1:8" x14ac:dyDescent="0.2">
      <c r="A33">
        <v>12</v>
      </c>
      <c r="B33" t="s">
        <v>42</v>
      </c>
      <c r="C33">
        <v>5</v>
      </c>
      <c r="D33">
        <v>6</v>
      </c>
      <c r="E33">
        <v>5</v>
      </c>
      <c r="F33">
        <v>0.57589329197071404</v>
      </c>
      <c r="G33" t="b">
        <v>1</v>
      </c>
      <c r="H33" t="s">
        <v>58</v>
      </c>
    </row>
    <row r="34" spans="1:8" x14ac:dyDescent="0.2">
      <c r="A34">
        <v>10</v>
      </c>
      <c r="B34" t="s">
        <v>72</v>
      </c>
      <c r="C34">
        <v>6</v>
      </c>
      <c r="D34">
        <v>11</v>
      </c>
      <c r="E34">
        <v>8</v>
      </c>
      <c r="F34">
        <v>38.082238000002597</v>
      </c>
      <c r="G34" t="b">
        <v>1</v>
      </c>
      <c r="H34" t="s">
        <v>73</v>
      </c>
    </row>
    <row r="35" spans="1:8" x14ac:dyDescent="0.2">
      <c r="A35">
        <v>7</v>
      </c>
      <c r="B35" t="s">
        <v>64</v>
      </c>
      <c r="C35">
        <v>6</v>
      </c>
      <c r="D35">
        <v>10</v>
      </c>
      <c r="E35">
        <v>7</v>
      </c>
      <c r="F35">
        <v>31.986065458040599</v>
      </c>
      <c r="G35" t="b">
        <v>1</v>
      </c>
      <c r="H35" t="s">
        <v>65</v>
      </c>
    </row>
    <row r="36" spans="1:8" x14ac:dyDescent="0.2">
      <c r="A36">
        <v>5</v>
      </c>
      <c r="B36" t="s">
        <v>70</v>
      </c>
      <c r="C36">
        <v>6</v>
      </c>
      <c r="D36">
        <v>11</v>
      </c>
      <c r="E36">
        <v>7</v>
      </c>
      <c r="F36">
        <v>39.349230292020302</v>
      </c>
      <c r="G36" t="b">
        <v>1</v>
      </c>
      <c r="H36" t="s">
        <v>71</v>
      </c>
    </row>
    <row r="37" spans="1:8" x14ac:dyDescent="0.2">
      <c r="A37">
        <v>8</v>
      </c>
      <c r="B37" t="s">
        <v>66</v>
      </c>
      <c r="C37">
        <v>6</v>
      </c>
      <c r="D37">
        <v>10</v>
      </c>
      <c r="E37">
        <v>8</v>
      </c>
      <c r="F37">
        <v>32.574585624970403</v>
      </c>
      <c r="G37" t="b">
        <v>1</v>
      </c>
      <c r="H37" t="s">
        <v>67</v>
      </c>
    </row>
    <row r="38" spans="1:8" x14ac:dyDescent="0.2">
      <c r="A38">
        <v>6</v>
      </c>
      <c r="B38" t="s">
        <v>68</v>
      </c>
      <c r="C38">
        <v>6</v>
      </c>
      <c r="D38">
        <v>11</v>
      </c>
      <c r="E38">
        <v>10</v>
      </c>
      <c r="F38">
        <v>39.0839939999859</v>
      </c>
      <c r="G38" t="b">
        <v>1</v>
      </c>
      <c r="H38" t="s">
        <v>69</v>
      </c>
    </row>
    <row r="39" spans="1:8" x14ac:dyDescent="0.2">
      <c r="A39">
        <v>2</v>
      </c>
      <c r="B39" t="s">
        <v>78</v>
      </c>
      <c r="C39">
        <v>7</v>
      </c>
      <c r="D39">
        <v>14</v>
      </c>
      <c r="E39">
        <v>8</v>
      </c>
      <c r="F39">
        <v>77.754523124895002</v>
      </c>
      <c r="G39" t="b">
        <v>1</v>
      </c>
      <c r="H39" t="s">
        <v>79</v>
      </c>
    </row>
    <row r="40" spans="1:8" x14ac:dyDescent="0.2">
      <c r="A40">
        <v>4</v>
      </c>
      <c r="B40" t="s">
        <v>80</v>
      </c>
      <c r="C40">
        <v>7</v>
      </c>
      <c r="D40">
        <v>14</v>
      </c>
      <c r="E40">
        <v>8</v>
      </c>
      <c r="F40">
        <v>78.3583883750252</v>
      </c>
      <c r="G40" t="b">
        <v>1</v>
      </c>
      <c r="H40" t="s">
        <v>81</v>
      </c>
    </row>
    <row r="41" spans="1:8" x14ac:dyDescent="0.2">
      <c r="A41">
        <v>9</v>
      </c>
      <c r="B41" t="s">
        <v>82</v>
      </c>
      <c r="C41">
        <v>7</v>
      </c>
      <c r="D41">
        <v>14</v>
      </c>
      <c r="E41">
        <v>8</v>
      </c>
      <c r="F41">
        <v>65.142169042024705</v>
      </c>
      <c r="G41" t="b">
        <v>1</v>
      </c>
      <c r="H41" t="s">
        <v>83</v>
      </c>
    </row>
    <row r="42" spans="1:8" x14ac:dyDescent="0.2">
      <c r="A42">
        <v>3</v>
      </c>
      <c r="B42" t="s">
        <v>74</v>
      </c>
      <c r="C42">
        <v>7</v>
      </c>
      <c r="D42">
        <v>13</v>
      </c>
      <c r="E42">
        <v>10</v>
      </c>
      <c r="F42">
        <v>70.924150041071698</v>
      </c>
      <c r="G42" t="b">
        <v>1</v>
      </c>
      <c r="H42" t="s">
        <v>75</v>
      </c>
    </row>
    <row r="43" spans="1:8" x14ac:dyDescent="0.2">
      <c r="A43">
        <v>1</v>
      </c>
      <c r="B43" t="s">
        <v>76</v>
      </c>
      <c r="C43">
        <v>7</v>
      </c>
      <c r="D43">
        <v>14</v>
      </c>
      <c r="E43">
        <v>10</v>
      </c>
      <c r="F43">
        <v>76.190950082964207</v>
      </c>
      <c r="G43" t="b">
        <v>1</v>
      </c>
      <c r="H43" t="s">
        <v>77</v>
      </c>
    </row>
  </sheetData>
  <sortState xmlns:xlrd2="http://schemas.microsoft.com/office/spreadsheetml/2017/richdata2" ref="A19:H43">
    <sortCondition ref="B19:B4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4330-7229-A048-ABDD-A7710F50A502}">
  <dimension ref="A1:H43"/>
  <sheetViews>
    <sheetView topLeftCell="A5" workbookViewId="0">
      <selection activeCell="A19" sqref="A19:XFD43"/>
    </sheetView>
  </sheetViews>
  <sheetFormatPr baseColWidth="10" defaultRowHeight="16" x14ac:dyDescent="0.2"/>
  <sheetData>
    <row r="1" spans="1:1" x14ac:dyDescent="0.2">
      <c r="A1" t="s">
        <v>63</v>
      </c>
    </row>
    <row r="2" spans="1:1" x14ac:dyDescent="0.2">
      <c r="A2" t="s">
        <v>48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138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159</v>
      </c>
    </row>
    <row r="18" spans="1:8" x14ac:dyDescent="0.2">
      <c r="A18" t="s">
        <v>17</v>
      </c>
    </row>
    <row r="19" spans="1:8" x14ac:dyDescent="0.2">
      <c r="A19">
        <v>15</v>
      </c>
      <c r="B19" t="s">
        <v>34</v>
      </c>
      <c r="C19">
        <v>3</v>
      </c>
      <c r="D19">
        <v>2</v>
      </c>
      <c r="E19">
        <v>2</v>
      </c>
      <c r="F19">
        <v>1.21304206550121E-3</v>
      </c>
      <c r="G19" t="b">
        <v>1</v>
      </c>
      <c r="H19" t="s">
        <v>57</v>
      </c>
    </row>
    <row r="20" spans="1:8" x14ac:dyDescent="0.2">
      <c r="A20">
        <v>14</v>
      </c>
      <c r="B20" t="s">
        <v>38</v>
      </c>
      <c r="C20">
        <v>3</v>
      </c>
      <c r="D20">
        <v>3</v>
      </c>
      <c r="E20">
        <v>3</v>
      </c>
      <c r="F20">
        <v>4.9567499663680696E-3</v>
      </c>
      <c r="G20" t="b">
        <v>1</v>
      </c>
      <c r="H20" t="s">
        <v>56</v>
      </c>
    </row>
    <row r="21" spans="1:8" x14ac:dyDescent="0.2">
      <c r="A21">
        <v>5</v>
      </c>
      <c r="B21" t="s">
        <v>26</v>
      </c>
      <c r="C21">
        <v>3</v>
      </c>
      <c r="D21">
        <v>3</v>
      </c>
      <c r="E21">
        <v>3</v>
      </c>
      <c r="F21">
        <v>0.14219829195644701</v>
      </c>
      <c r="G21" t="b">
        <v>1</v>
      </c>
      <c r="H21" t="s">
        <v>50</v>
      </c>
    </row>
    <row r="22" spans="1:8" x14ac:dyDescent="0.2">
      <c r="A22">
        <v>13</v>
      </c>
      <c r="B22" t="s">
        <v>32</v>
      </c>
      <c r="C22">
        <v>3</v>
      </c>
      <c r="D22">
        <v>3</v>
      </c>
      <c r="E22">
        <v>3</v>
      </c>
      <c r="F22">
        <v>6.5634170314297002E-3</v>
      </c>
      <c r="G22" t="b">
        <v>1</v>
      </c>
      <c r="H22" t="s">
        <v>33</v>
      </c>
    </row>
    <row r="23" spans="1:8" x14ac:dyDescent="0.2">
      <c r="A23">
        <v>7</v>
      </c>
      <c r="B23" t="s">
        <v>40</v>
      </c>
      <c r="C23">
        <v>3</v>
      </c>
      <c r="D23">
        <v>3</v>
      </c>
      <c r="E23">
        <v>3</v>
      </c>
      <c r="F23">
        <v>0.14835375000257001</v>
      </c>
      <c r="G23" t="b">
        <v>1</v>
      </c>
      <c r="H23" t="s">
        <v>52</v>
      </c>
    </row>
    <row r="24" spans="1:8" x14ac:dyDescent="0.2">
      <c r="A24">
        <v>4</v>
      </c>
      <c r="B24" t="s">
        <v>44</v>
      </c>
      <c r="C24">
        <v>4</v>
      </c>
      <c r="D24">
        <v>6</v>
      </c>
      <c r="E24">
        <v>4</v>
      </c>
      <c r="F24">
        <v>0.15510562493000099</v>
      </c>
      <c r="G24" t="b">
        <v>1</v>
      </c>
      <c r="H24" t="s">
        <v>171</v>
      </c>
    </row>
    <row r="25" spans="1:8" x14ac:dyDescent="0.2">
      <c r="A25">
        <v>2</v>
      </c>
      <c r="B25" t="s">
        <v>18</v>
      </c>
      <c r="C25">
        <v>4</v>
      </c>
      <c r="D25">
        <v>5</v>
      </c>
      <c r="E25">
        <v>3</v>
      </c>
      <c r="F25">
        <v>0.15099275007378299</v>
      </c>
      <c r="G25" t="b">
        <v>1</v>
      </c>
      <c r="H25" t="s">
        <v>170</v>
      </c>
    </row>
    <row r="26" spans="1:8" x14ac:dyDescent="0.2">
      <c r="A26">
        <v>9</v>
      </c>
      <c r="B26" t="s">
        <v>22</v>
      </c>
      <c r="C26">
        <v>4</v>
      </c>
      <c r="D26">
        <v>4</v>
      </c>
      <c r="E26">
        <v>3</v>
      </c>
      <c r="F26">
        <v>6.2797919381409797E-3</v>
      </c>
      <c r="G26" t="b">
        <v>1</v>
      </c>
      <c r="H26" t="s">
        <v>172</v>
      </c>
    </row>
    <row r="27" spans="1:8" x14ac:dyDescent="0.2">
      <c r="A27">
        <v>3</v>
      </c>
      <c r="B27" t="s">
        <v>36</v>
      </c>
      <c r="C27">
        <v>4</v>
      </c>
      <c r="D27">
        <v>6</v>
      </c>
      <c r="E27">
        <v>4</v>
      </c>
      <c r="F27">
        <v>0.152493541012518</v>
      </c>
      <c r="G27" t="b">
        <v>1</v>
      </c>
      <c r="H27" t="s">
        <v>173</v>
      </c>
    </row>
    <row r="28" spans="1:8" x14ac:dyDescent="0.2">
      <c r="A28">
        <v>6</v>
      </c>
      <c r="B28" t="s">
        <v>30</v>
      </c>
      <c r="C28">
        <v>4</v>
      </c>
      <c r="D28">
        <v>5</v>
      </c>
      <c r="E28">
        <v>3</v>
      </c>
      <c r="F28">
        <v>0.170164125040173</v>
      </c>
      <c r="G28" t="b">
        <v>1</v>
      </c>
      <c r="H28" t="s">
        <v>31</v>
      </c>
    </row>
    <row r="29" spans="1:8" x14ac:dyDescent="0.2">
      <c r="A29">
        <v>8</v>
      </c>
      <c r="B29" t="s">
        <v>46</v>
      </c>
      <c r="C29">
        <v>5</v>
      </c>
      <c r="D29">
        <v>9</v>
      </c>
      <c r="E29">
        <v>5</v>
      </c>
      <c r="F29">
        <v>1.7356982079800201</v>
      </c>
      <c r="G29" t="b">
        <v>1</v>
      </c>
      <c r="H29" t="s">
        <v>177</v>
      </c>
    </row>
    <row r="30" spans="1:8" x14ac:dyDescent="0.2">
      <c r="A30">
        <v>11</v>
      </c>
      <c r="B30" t="s">
        <v>28</v>
      </c>
      <c r="C30">
        <v>5</v>
      </c>
      <c r="D30">
        <v>8</v>
      </c>
      <c r="E30">
        <v>5</v>
      </c>
      <c r="F30">
        <v>2.1582919580396198</v>
      </c>
      <c r="G30" t="b">
        <v>1</v>
      </c>
      <c r="H30" t="s">
        <v>178</v>
      </c>
    </row>
    <row r="31" spans="1:8" x14ac:dyDescent="0.2">
      <c r="A31">
        <v>1</v>
      </c>
      <c r="B31" t="s">
        <v>20</v>
      </c>
      <c r="C31">
        <v>5</v>
      </c>
      <c r="D31">
        <v>8</v>
      </c>
      <c r="E31">
        <v>5</v>
      </c>
      <c r="F31">
        <v>0.21446733304765001</v>
      </c>
      <c r="G31" t="b">
        <v>1</v>
      </c>
      <c r="H31" t="s">
        <v>174</v>
      </c>
    </row>
    <row r="32" spans="1:8" x14ac:dyDescent="0.2">
      <c r="A32">
        <v>10</v>
      </c>
      <c r="B32" t="s">
        <v>24</v>
      </c>
      <c r="C32">
        <v>5</v>
      </c>
      <c r="D32">
        <v>7</v>
      </c>
      <c r="E32">
        <v>4</v>
      </c>
      <c r="F32">
        <v>5.26862499536946E-2</v>
      </c>
      <c r="G32" t="b">
        <v>1</v>
      </c>
      <c r="H32" t="s">
        <v>176</v>
      </c>
    </row>
    <row r="33" spans="1:8" x14ac:dyDescent="0.2">
      <c r="A33">
        <v>12</v>
      </c>
      <c r="B33" t="s">
        <v>42</v>
      </c>
      <c r="C33">
        <v>5</v>
      </c>
      <c r="D33">
        <v>7</v>
      </c>
      <c r="E33">
        <v>4</v>
      </c>
      <c r="F33">
        <v>2.5526500074192798E-2</v>
      </c>
      <c r="G33" t="b">
        <v>1</v>
      </c>
      <c r="H33" t="s">
        <v>175</v>
      </c>
    </row>
    <row r="34" spans="1:8" x14ac:dyDescent="0.2">
      <c r="A34">
        <v>10</v>
      </c>
      <c r="B34" t="s">
        <v>72</v>
      </c>
      <c r="C34">
        <v>6</v>
      </c>
      <c r="D34">
        <v>14</v>
      </c>
      <c r="E34">
        <v>6</v>
      </c>
      <c r="F34">
        <v>54.168911417014897</v>
      </c>
      <c r="G34" t="b">
        <v>1</v>
      </c>
      <c r="H34" t="s">
        <v>164</v>
      </c>
    </row>
    <row r="35" spans="1:8" x14ac:dyDescent="0.2">
      <c r="A35">
        <v>7</v>
      </c>
      <c r="B35" t="s">
        <v>64</v>
      </c>
      <c r="C35">
        <v>6</v>
      </c>
      <c r="D35">
        <v>12</v>
      </c>
      <c r="E35">
        <v>5</v>
      </c>
      <c r="F35">
        <v>62.839705458027296</v>
      </c>
      <c r="G35" t="b">
        <v>1</v>
      </c>
      <c r="H35" t="s">
        <v>162</v>
      </c>
    </row>
    <row r="36" spans="1:8" x14ac:dyDescent="0.2">
      <c r="A36">
        <v>5</v>
      </c>
      <c r="B36" t="s">
        <v>70</v>
      </c>
      <c r="C36">
        <v>6</v>
      </c>
      <c r="D36">
        <v>14</v>
      </c>
      <c r="E36">
        <v>6</v>
      </c>
      <c r="F36">
        <v>40.313515582936802</v>
      </c>
      <c r="G36" t="b">
        <v>1</v>
      </c>
      <c r="H36" t="s">
        <v>161</v>
      </c>
    </row>
    <row r="37" spans="1:8" x14ac:dyDescent="0.2">
      <c r="A37">
        <v>8</v>
      </c>
      <c r="B37" t="s">
        <v>66</v>
      </c>
      <c r="C37">
        <v>6</v>
      </c>
      <c r="D37">
        <v>12</v>
      </c>
      <c r="E37">
        <v>5</v>
      </c>
      <c r="F37">
        <v>38.702061916002997</v>
      </c>
      <c r="G37" t="b">
        <v>1</v>
      </c>
      <c r="H37" t="s">
        <v>160</v>
      </c>
    </row>
    <row r="38" spans="1:8" x14ac:dyDescent="0.2">
      <c r="A38">
        <v>6</v>
      </c>
      <c r="B38" t="s">
        <v>68</v>
      </c>
      <c r="C38">
        <v>6</v>
      </c>
      <c r="D38">
        <v>13</v>
      </c>
      <c r="E38">
        <v>6</v>
      </c>
      <c r="F38">
        <v>74.855652875034096</v>
      </c>
      <c r="G38" t="b">
        <v>1</v>
      </c>
      <c r="H38" t="s">
        <v>163</v>
      </c>
    </row>
    <row r="39" spans="1:8" x14ac:dyDescent="0.2">
      <c r="A39">
        <v>2</v>
      </c>
      <c r="B39" t="s">
        <v>78</v>
      </c>
      <c r="C39">
        <v>7</v>
      </c>
      <c r="D39">
        <v>17</v>
      </c>
      <c r="E39">
        <v>7</v>
      </c>
      <c r="F39">
        <v>449.68306229193598</v>
      </c>
      <c r="G39" t="b">
        <v>1</v>
      </c>
      <c r="H39" t="s">
        <v>169</v>
      </c>
    </row>
    <row r="40" spans="1:8" x14ac:dyDescent="0.2">
      <c r="A40">
        <v>4</v>
      </c>
      <c r="B40" t="s">
        <v>80</v>
      </c>
      <c r="C40">
        <v>7</v>
      </c>
      <c r="D40">
        <v>18</v>
      </c>
      <c r="E40">
        <v>7</v>
      </c>
      <c r="F40">
        <v>225.97729425004201</v>
      </c>
      <c r="G40" t="b">
        <v>1</v>
      </c>
      <c r="H40" t="s">
        <v>166</v>
      </c>
    </row>
    <row r="41" spans="1:8" x14ac:dyDescent="0.2">
      <c r="A41">
        <v>9</v>
      </c>
      <c r="B41" t="s">
        <v>82</v>
      </c>
      <c r="C41">
        <v>7</v>
      </c>
      <c r="D41">
        <v>21</v>
      </c>
      <c r="E41">
        <v>8</v>
      </c>
      <c r="F41">
        <v>300.32536016602501</v>
      </c>
      <c r="G41" t="b">
        <v>1</v>
      </c>
      <c r="H41" t="s">
        <v>168</v>
      </c>
    </row>
    <row r="42" spans="1:8" x14ac:dyDescent="0.2">
      <c r="A42">
        <v>3</v>
      </c>
      <c r="B42" t="s">
        <v>74</v>
      </c>
      <c r="C42">
        <v>7</v>
      </c>
      <c r="D42">
        <v>16</v>
      </c>
      <c r="E42">
        <v>7</v>
      </c>
      <c r="F42">
        <v>121.752702124998</v>
      </c>
      <c r="G42" t="b">
        <v>1</v>
      </c>
      <c r="H42" t="s">
        <v>165</v>
      </c>
    </row>
    <row r="43" spans="1:8" x14ac:dyDescent="0.2">
      <c r="A43">
        <v>1</v>
      </c>
      <c r="B43" t="s">
        <v>76</v>
      </c>
      <c r="C43">
        <v>7</v>
      </c>
      <c r="D43">
        <v>17</v>
      </c>
      <c r="E43">
        <v>7</v>
      </c>
      <c r="F43">
        <v>243.99926541605899</v>
      </c>
      <c r="G43" t="b">
        <v>1</v>
      </c>
      <c r="H43" t="s">
        <v>167</v>
      </c>
    </row>
  </sheetData>
  <sortState xmlns:xlrd2="http://schemas.microsoft.com/office/spreadsheetml/2017/richdata2" ref="A19:H43">
    <sortCondition ref="B19:B43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D91D-967F-3D42-9B46-0B084E940430}">
  <dimension ref="A1:H43"/>
  <sheetViews>
    <sheetView topLeftCell="A12" workbookViewId="0">
      <selection activeCell="A19" sqref="A19:XFD4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16</v>
      </c>
    </row>
    <row r="18" spans="1:8" x14ac:dyDescent="0.2">
      <c r="A18" t="s">
        <v>17</v>
      </c>
    </row>
    <row r="19" spans="1:8" x14ac:dyDescent="0.2">
      <c r="A19">
        <v>15</v>
      </c>
      <c r="B19" t="s">
        <v>34</v>
      </c>
      <c r="C19">
        <v>3</v>
      </c>
      <c r="D19">
        <v>2</v>
      </c>
      <c r="E19">
        <v>2</v>
      </c>
      <c r="F19">
        <v>1.36466603726148E-3</v>
      </c>
      <c r="G19" t="b">
        <v>1</v>
      </c>
      <c r="H19" t="s">
        <v>35</v>
      </c>
    </row>
    <row r="20" spans="1:8" x14ac:dyDescent="0.2">
      <c r="A20">
        <v>14</v>
      </c>
      <c r="B20" t="s">
        <v>38</v>
      </c>
      <c r="C20">
        <v>3</v>
      </c>
      <c r="D20">
        <v>3</v>
      </c>
      <c r="E20">
        <v>3</v>
      </c>
      <c r="F20">
        <v>4.0977500611916098E-3</v>
      </c>
      <c r="G20" t="b">
        <v>1</v>
      </c>
      <c r="H20" t="s">
        <v>39</v>
      </c>
    </row>
    <row r="21" spans="1:8" x14ac:dyDescent="0.2">
      <c r="A21">
        <v>5</v>
      </c>
      <c r="B21" t="s">
        <v>26</v>
      </c>
      <c r="C21">
        <v>3</v>
      </c>
      <c r="D21">
        <v>3</v>
      </c>
      <c r="E21">
        <v>3</v>
      </c>
      <c r="F21">
        <v>0.165824374998919</v>
      </c>
      <c r="G21" t="b">
        <v>1</v>
      </c>
      <c r="H21" t="s">
        <v>27</v>
      </c>
    </row>
    <row r="22" spans="1:8" x14ac:dyDescent="0.2">
      <c r="A22">
        <v>13</v>
      </c>
      <c r="B22" t="s">
        <v>32</v>
      </c>
      <c r="C22">
        <v>3</v>
      </c>
      <c r="D22">
        <v>3</v>
      </c>
      <c r="E22">
        <v>3</v>
      </c>
      <c r="F22">
        <v>2.4357920046895699E-3</v>
      </c>
      <c r="G22" t="b">
        <v>1</v>
      </c>
      <c r="H22" t="s">
        <v>33</v>
      </c>
    </row>
    <row r="23" spans="1:8" x14ac:dyDescent="0.2">
      <c r="A23">
        <v>7</v>
      </c>
      <c r="B23" t="s">
        <v>40</v>
      </c>
      <c r="C23">
        <v>3</v>
      </c>
      <c r="D23">
        <v>3</v>
      </c>
      <c r="E23">
        <v>3</v>
      </c>
      <c r="F23">
        <v>0.140611166949383</v>
      </c>
      <c r="G23" t="b">
        <v>1</v>
      </c>
      <c r="H23" t="s">
        <v>41</v>
      </c>
    </row>
    <row r="24" spans="1:8" x14ac:dyDescent="0.2">
      <c r="A24">
        <v>4</v>
      </c>
      <c r="B24" t="s">
        <v>44</v>
      </c>
      <c r="C24">
        <v>4</v>
      </c>
      <c r="D24">
        <v>5</v>
      </c>
      <c r="E24">
        <v>5</v>
      </c>
      <c r="F24">
        <v>0.17281283298507299</v>
      </c>
      <c r="G24" t="b">
        <v>1</v>
      </c>
      <c r="H24" t="s">
        <v>45</v>
      </c>
    </row>
    <row r="25" spans="1:8" x14ac:dyDescent="0.2">
      <c r="A25">
        <v>2</v>
      </c>
      <c r="B25" t="s">
        <v>18</v>
      </c>
      <c r="C25">
        <v>4</v>
      </c>
      <c r="D25">
        <v>5</v>
      </c>
      <c r="E25">
        <v>3</v>
      </c>
      <c r="F25">
        <v>0.19763824995607099</v>
      </c>
      <c r="G25" t="b">
        <v>1</v>
      </c>
      <c r="H25" t="s">
        <v>19</v>
      </c>
    </row>
    <row r="26" spans="1:8" x14ac:dyDescent="0.2">
      <c r="A26">
        <v>9</v>
      </c>
      <c r="B26" t="s">
        <v>22</v>
      </c>
      <c r="C26">
        <v>4</v>
      </c>
      <c r="D26">
        <v>4</v>
      </c>
      <c r="E26">
        <v>4</v>
      </c>
      <c r="F26">
        <v>7.7315419912338196E-3</v>
      </c>
      <c r="G26" t="b">
        <v>1</v>
      </c>
      <c r="H26" t="s">
        <v>23</v>
      </c>
    </row>
    <row r="27" spans="1:8" x14ac:dyDescent="0.2">
      <c r="A27">
        <v>3</v>
      </c>
      <c r="B27" t="s">
        <v>36</v>
      </c>
      <c r="C27">
        <v>4</v>
      </c>
      <c r="D27">
        <v>6</v>
      </c>
      <c r="E27">
        <v>5</v>
      </c>
      <c r="F27">
        <v>0.18062254099640901</v>
      </c>
      <c r="G27" t="b">
        <v>1</v>
      </c>
      <c r="H27" t="s">
        <v>37</v>
      </c>
    </row>
    <row r="28" spans="1:8" x14ac:dyDescent="0.2">
      <c r="A28">
        <v>6</v>
      </c>
      <c r="B28" t="s">
        <v>30</v>
      </c>
      <c r="C28">
        <v>4</v>
      </c>
      <c r="D28">
        <v>5</v>
      </c>
      <c r="E28">
        <v>3</v>
      </c>
      <c r="F28">
        <v>0.16090487502515299</v>
      </c>
      <c r="G28" t="b">
        <v>1</v>
      </c>
      <c r="H28" t="s">
        <v>31</v>
      </c>
    </row>
    <row r="29" spans="1:8" x14ac:dyDescent="0.2">
      <c r="A29">
        <v>8</v>
      </c>
      <c r="B29" t="s">
        <v>46</v>
      </c>
      <c r="C29">
        <v>5</v>
      </c>
      <c r="D29">
        <v>8</v>
      </c>
      <c r="E29">
        <v>6</v>
      </c>
      <c r="F29">
        <v>0.16940670902840699</v>
      </c>
      <c r="G29" t="b">
        <v>1</v>
      </c>
      <c r="H29" t="s">
        <v>47</v>
      </c>
    </row>
    <row r="30" spans="1:8" x14ac:dyDescent="0.2">
      <c r="A30">
        <v>11</v>
      </c>
      <c r="B30" t="s">
        <v>28</v>
      </c>
      <c r="C30">
        <v>5</v>
      </c>
      <c r="D30">
        <v>9</v>
      </c>
      <c r="E30">
        <v>9</v>
      </c>
      <c r="F30">
        <v>2.2075916989706401E-2</v>
      </c>
      <c r="G30" t="b">
        <v>1</v>
      </c>
      <c r="H30" t="s">
        <v>29</v>
      </c>
    </row>
    <row r="31" spans="1:8" x14ac:dyDescent="0.2">
      <c r="A31">
        <v>1</v>
      </c>
      <c r="B31" t="s">
        <v>20</v>
      </c>
      <c r="C31">
        <v>5</v>
      </c>
      <c r="D31">
        <v>8</v>
      </c>
      <c r="E31">
        <v>7</v>
      </c>
      <c r="F31">
        <v>0.21497229090891701</v>
      </c>
      <c r="G31" t="b">
        <v>1</v>
      </c>
      <c r="H31" t="s">
        <v>21</v>
      </c>
    </row>
    <row r="32" spans="1:8" x14ac:dyDescent="0.2">
      <c r="A32">
        <v>10</v>
      </c>
      <c r="B32" t="s">
        <v>24</v>
      </c>
      <c r="C32">
        <v>5</v>
      </c>
      <c r="D32">
        <v>7</v>
      </c>
      <c r="E32">
        <v>7</v>
      </c>
      <c r="F32">
        <v>2.10697499569505E-2</v>
      </c>
      <c r="G32" t="b">
        <v>1</v>
      </c>
      <c r="H32" t="s">
        <v>25</v>
      </c>
    </row>
    <row r="33" spans="1:8" x14ac:dyDescent="0.2">
      <c r="A33">
        <v>12</v>
      </c>
      <c r="B33" t="s">
        <v>42</v>
      </c>
      <c r="C33">
        <v>5</v>
      </c>
      <c r="D33">
        <v>6</v>
      </c>
      <c r="E33">
        <v>5</v>
      </c>
      <c r="F33">
        <v>1.0386958951130501E-2</v>
      </c>
      <c r="G33" t="b">
        <v>1</v>
      </c>
      <c r="H33" t="s">
        <v>43</v>
      </c>
    </row>
    <row r="34" spans="1:8" x14ac:dyDescent="0.2">
      <c r="A34">
        <v>10</v>
      </c>
      <c r="B34" t="s">
        <v>72</v>
      </c>
      <c r="C34">
        <v>6</v>
      </c>
      <c r="D34">
        <v>12</v>
      </c>
      <c r="E34">
        <v>12</v>
      </c>
      <c r="F34">
        <v>4.4532959000207401E-2</v>
      </c>
      <c r="G34" t="b">
        <v>1</v>
      </c>
      <c r="H34" t="s">
        <v>133</v>
      </c>
    </row>
    <row r="35" spans="1:8" x14ac:dyDescent="0.2">
      <c r="A35">
        <v>7</v>
      </c>
      <c r="B35" t="s">
        <v>64</v>
      </c>
      <c r="C35">
        <v>6</v>
      </c>
      <c r="D35">
        <v>12</v>
      </c>
      <c r="E35">
        <v>8</v>
      </c>
      <c r="F35">
        <v>0.19739687500987199</v>
      </c>
      <c r="G35" t="b">
        <v>1</v>
      </c>
      <c r="H35" t="s">
        <v>128</v>
      </c>
    </row>
    <row r="36" spans="1:8" x14ac:dyDescent="0.2">
      <c r="A36">
        <v>5</v>
      </c>
      <c r="B36" t="s">
        <v>70</v>
      </c>
      <c r="C36">
        <v>6</v>
      </c>
      <c r="D36">
        <v>11</v>
      </c>
      <c r="E36">
        <v>8</v>
      </c>
      <c r="F36">
        <v>0.21208737499546201</v>
      </c>
      <c r="G36" t="b">
        <v>1</v>
      </c>
      <c r="H36" t="s">
        <v>129</v>
      </c>
    </row>
    <row r="37" spans="1:8" x14ac:dyDescent="0.2">
      <c r="A37">
        <v>8</v>
      </c>
      <c r="B37" t="s">
        <v>66</v>
      </c>
      <c r="C37">
        <v>6</v>
      </c>
      <c r="D37">
        <v>10</v>
      </c>
      <c r="E37">
        <v>6</v>
      </c>
      <c r="F37">
        <v>0.20205420802813001</v>
      </c>
      <c r="G37" t="b">
        <v>1</v>
      </c>
      <c r="H37" t="s">
        <v>132</v>
      </c>
    </row>
    <row r="38" spans="1:8" x14ac:dyDescent="0.2">
      <c r="A38">
        <v>6</v>
      </c>
      <c r="B38" t="s">
        <v>68</v>
      </c>
      <c r="C38">
        <v>6</v>
      </c>
      <c r="D38">
        <v>11</v>
      </c>
      <c r="E38">
        <v>8</v>
      </c>
      <c r="F38">
        <v>0.20489454106427701</v>
      </c>
      <c r="G38" t="b">
        <v>1</v>
      </c>
      <c r="H38" t="s">
        <v>127</v>
      </c>
    </row>
    <row r="39" spans="1:8" x14ac:dyDescent="0.2">
      <c r="A39">
        <v>2</v>
      </c>
      <c r="B39" t="s">
        <v>78</v>
      </c>
      <c r="C39">
        <v>7</v>
      </c>
      <c r="D39">
        <v>16</v>
      </c>
      <c r="E39">
        <v>10</v>
      </c>
      <c r="F39">
        <v>0.24836341699119599</v>
      </c>
      <c r="G39" t="b">
        <v>1</v>
      </c>
      <c r="H39" t="s">
        <v>131</v>
      </c>
    </row>
    <row r="40" spans="1:8" x14ac:dyDescent="0.2">
      <c r="A40">
        <v>4</v>
      </c>
      <c r="B40" t="s">
        <v>80</v>
      </c>
      <c r="C40">
        <v>7</v>
      </c>
      <c r="D40">
        <v>16</v>
      </c>
      <c r="E40">
        <v>11</v>
      </c>
      <c r="F40">
        <v>0.232815833063796</v>
      </c>
      <c r="G40" t="b">
        <v>1</v>
      </c>
      <c r="H40" t="s">
        <v>130</v>
      </c>
    </row>
    <row r="41" spans="1:8" x14ac:dyDescent="0.2">
      <c r="A41">
        <v>9</v>
      </c>
      <c r="B41" t="s">
        <v>82</v>
      </c>
      <c r="C41">
        <v>7</v>
      </c>
      <c r="D41">
        <v>17</v>
      </c>
      <c r="E41">
        <v>13</v>
      </c>
      <c r="F41">
        <v>7.6896374928764999E-2</v>
      </c>
      <c r="G41" t="b">
        <v>1</v>
      </c>
      <c r="H41" t="s">
        <v>134</v>
      </c>
    </row>
    <row r="42" spans="1:8" x14ac:dyDescent="0.2">
      <c r="A42">
        <v>3</v>
      </c>
      <c r="B42" t="s">
        <v>74</v>
      </c>
      <c r="C42">
        <v>7</v>
      </c>
      <c r="D42">
        <v>14</v>
      </c>
      <c r="E42">
        <v>10</v>
      </c>
      <c r="F42">
        <v>0.21032366703729999</v>
      </c>
      <c r="G42" t="b">
        <v>1</v>
      </c>
      <c r="H42" t="s">
        <v>126</v>
      </c>
    </row>
    <row r="43" spans="1:8" x14ac:dyDescent="0.2">
      <c r="A43">
        <v>1</v>
      </c>
      <c r="B43" t="s">
        <v>76</v>
      </c>
      <c r="C43">
        <v>7</v>
      </c>
      <c r="D43">
        <v>16</v>
      </c>
      <c r="E43">
        <v>12</v>
      </c>
      <c r="F43">
        <v>0.21962337510194599</v>
      </c>
      <c r="G43" t="b">
        <v>1</v>
      </c>
      <c r="H43" t="s">
        <v>125</v>
      </c>
    </row>
  </sheetData>
  <sortState xmlns:xlrd2="http://schemas.microsoft.com/office/spreadsheetml/2017/richdata2" ref="A19:H43">
    <sortCondition ref="B19:B4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BAAF-2569-FC47-B60E-B4E95FDD6A03}">
  <dimension ref="A1:H43"/>
  <sheetViews>
    <sheetView topLeftCell="A15" workbookViewId="0">
      <selection activeCell="K28" sqref="K2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138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8" x14ac:dyDescent="0.2">
      <c r="A17" t="s">
        <v>139</v>
      </c>
    </row>
    <row r="18" spans="1:8" x14ac:dyDescent="0.2">
      <c r="A18" t="s">
        <v>17</v>
      </c>
    </row>
    <row r="19" spans="1:8" x14ac:dyDescent="0.2">
      <c r="A19">
        <v>15</v>
      </c>
      <c r="B19" t="s">
        <v>34</v>
      </c>
      <c r="C19">
        <v>3</v>
      </c>
      <c r="D19">
        <v>2</v>
      </c>
      <c r="E19">
        <v>2</v>
      </c>
      <c r="F19">
        <v>1.4273329870775301E-3</v>
      </c>
      <c r="G19" t="b">
        <v>1</v>
      </c>
      <c r="H19" t="s">
        <v>35</v>
      </c>
    </row>
    <row r="20" spans="1:8" x14ac:dyDescent="0.2">
      <c r="A20">
        <v>14</v>
      </c>
      <c r="B20" t="s">
        <v>38</v>
      </c>
      <c r="C20">
        <v>3</v>
      </c>
      <c r="D20">
        <v>3</v>
      </c>
      <c r="E20">
        <v>3</v>
      </c>
      <c r="F20">
        <v>2.4793749907985299E-3</v>
      </c>
      <c r="G20" t="b">
        <v>1</v>
      </c>
      <c r="H20" t="s">
        <v>39</v>
      </c>
    </row>
    <row r="21" spans="1:8" x14ac:dyDescent="0.2">
      <c r="A21">
        <v>5</v>
      </c>
      <c r="B21" t="s">
        <v>26</v>
      </c>
      <c r="C21">
        <v>3</v>
      </c>
      <c r="D21">
        <v>3</v>
      </c>
      <c r="E21">
        <v>3</v>
      </c>
      <c r="F21">
        <v>0.178826790885068</v>
      </c>
      <c r="G21" t="b">
        <v>1</v>
      </c>
      <c r="H21" t="s">
        <v>27</v>
      </c>
    </row>
    <row r="22" spans="1:8" x14ac:dyDescent="0.2">
      <c r="A22">
        <v>13</v>
      </c>
      <c r="B22" t="s">
        <v>32</v>
      </c>
      <c r="C22">
        <v>3</v>
      </c>
      <c r="D22">
        <v>3</v>
      </c>
      <c r="E22">
        <v>3</v>
      </c>
      <c r="F22">
        <v>2.3093749769032001E-3</v>
      </c>
      <c r="G22" t="b">
        <v>1</v>
      </c>
      <c r="H22" t="s">
        <v>33</v>
      </c>
    </row>
    <row r="23" spans="1:8" x14ac:dyDescent="0.2">
      <c r="A23">
        <v>7</v>
      </c>
      <c r="B23" t="s">
        <v>40</v>
      </c>
      <c r="C23">
        <v>3</v>
      </c>
      <c r="D23">
        <v>3</v>
      </c>
      <c r="E23">
        <v>3</v>
      </c>
      <c r="F23">
        <v>0.16332175000570701</v>
      </c>
      <c r="G23" t="b">
        <v>1</v>
      </c>
      <c r="H23" t="s">
        <v>41</v>
      </c>
    </row>
    <row r="24" spans="1:8" x14ac:dyDescent="0.2">
      <c r="A24">
        <v>4</v>
      </c>
      <c r="B24" t="s">
        <v>44</v>
      </c>
      <c r="C24">
        <v>4</v>
      </c>
      <c r="D24">
        <v>7</v>
      </c>
      <c r="E24">
        <v>4</v>
      </c>
      <c r="F24">
        <v>0.17976483306847499</v>
      </c>
      <c r="G24" t="b">
        <v>1</v>
      </c>
      <c r="H24" t="s">
        <v>144</v>
      </c>
    </row>
    <row r="25" spans="1:8" x14ac:dyDescent="0.2">
      <c r="A25">
        <v>2</v>
      </c>
      <c r="B25" t="s">
        <v>18</v>
      </c>
      <c r="C25">
        <v>4</v>
      </c>
      <c r="D25">
        <v>5</v>
      </c>
      <c r="E25">
        <v>3</v>
      </c>
      <c r="F25">
        <v>0.14446400001179399</v>
      </c>
      <c r="G25" t="b">
        <v>1</v>
      </c>
      <c r="H25" t="s">
        <v>19</v>
      </c>
    </row>
    <row r="26" spans="1:8" x14ac:dyDescent="0.2">
      <c r="A26">
        <v>9</v>
      </c>
      <c r="B26" t="s">
        <v>22</v>
      </c>
      <c r="C26">
        <v>4</v>
      </c>
      <c r="D26">
        <v>4</v>
      </c>
      <c r="E26">
        <v>3</v>
      </c>
      <c r="F26">
        <v>8.78299993928521E-3</v>
      </c>
      <c r="G26" t="b">
        <v>1</v>
      </c>
      <c r="H26" t="s">
        <v>140</v>
      </c>
    </row>
    <row r="27" spans="1:8" x14ac:dyDescent="0.2">
      <c r="A27">
        <v>3</v>
      </c>
      <c r="B27" t="s">
        <v>36</v>
      </c>
      <c r="C27">
        <v>4</v>
      </c>
      <c r="D27">
        <v>6</v>
      </c>
      <c r="E27">
        <v>4</v>
      </c>
      <c r="F27">
        <v>0.181077374960295</v>
      </c>
      <c r="G27" t="b">
        <v>1</v>
      </c>
      <c r="H27" t="s">
        <v>145</v>
      </c>
    </row>
    <row r="28" spans="1:8" x14ac:dyDescent="0.2">
      <c r="A28">
        <v>6</v>
      </c>
      <c r="B28" t="s">
        <v>30</v>
      </c>
      <c r="C28">
        <v>4</v>
      </c>
      <c r="D28">
        <v>5</v>
      </c>
      <c r="E28">
        <v>3</v>
      </c>
      <c r="F28">
        <v>0.20450687489937899</v>
      </c>
      <c r="G28" t="b">
        <v>1</v>
      </c>
      <c r="H28" t="s">
        <v>31</v>
      </c>
    </row>
    <row r="29" spans="1:8" x14ac:dyDescent="0.2">
      <c r="A29">
        <v>8</v>
      </c>
      <c r="B29" t="s">
        <v>46</v>
      </c>
      <c r="C29">
        <v>5</v>
      </c>
      <c r="D29">
        <v>8</v>
      </c>
      <c r="E29">
        <v>5</v>
      </c>
      <c r="F29">
        <v>0.186842082999646</v>
      </c>
      <c r="G29" t="b">
        <v>1</v>
      </c>
      <c r="H29" t="s">
        <v>147</v>
      </c>
    </row>
    <row r="30" spans="1:8" x14ac:dyDescent="0.2">
      <c r="A30">
        <v>11</v>
      </c>
      <c r="B30" t="s">
        <v>28</v>
      </c>
      <c r="C30">
        <v>5</v>
      </c>
      <c r="D30">
        <v>9</v>
      </c>
      <c r="E30">
        <v>5</v>
      </c>
      <c r="F30">
        <v>3.1381375039927599E-2</v>
      </c>
      <c r="G30" t="b">
        <v>1</v>
      </c>
      <c r="H30" t="s">
        <v>142</v>
      </c>
    </row>
    <row r="31" spans="1:8" x14ac:dyDescent="0.2">
      <c r="A31">
        <v>1</v>
      </c>
      <c r="B31" t="s">
        <v>20</v>
      </c>
      <c r="C31">
        <v>5</v>
      </c>
      <c r="D31">
        <v>8</v>
      </c>
      <c r="E31">
        <v>5</v>
      </c>
      <c r="F31">
        <v>0.17594262503553099</v>
      </c>
      <c r="G31" t="b">
        <v>1</v>
      </c>
      <c r="H31" t="s">
        <v>141</v>
      </c>
    </row>
    <row r="32" spans="1:8" x14ac:dyDescent="0.2">
      <c r="A32">
        <v>10</v>
      </c>
      <c r="B32" t="s">
        <v>24</v>
      </c>
      <c r="C32">
        <v>5</v>
      </c>
      <c r="D32">
        <v>7</v>
      </c>
      <c r="E32">
        <v>5</v>
      </c>
      <c r="F32">
        <v>2.0439292071387099E-2</v>
      </c>
      <c r="G32" t="b">
        <v>1</v>
      </c>
      <c r="H32" t="s">
        <v>143</v>
      </c>
    </row>
    <row r="33" spans="1:8" x14ac:dyDescent="0.2">
      <c r="A33">
        <v>12</v>
      </c>
      <c r="B33" t="s">
        <v>42</v>
      </c>
      <c r="C33">
        <v>5</v>
      </c>
      <c r="D33">
        <v>7</v>
      </c>
      <c r="E33">
        <v>5</v>
      </c>
      <c r="F33">
        <v>1.8939333036541901E-2</v>
      </c>
      <c r="G33" t="b">
        <v>1</v>
      </c>
      <c r="H33" t="s">
        <v>146</v>
      </c>
    </row>
    <row r="34" spans="1:8" x14ac:dyDescent="0.2">
      <c r="A34">
        <v>10</v>
      </c>
      <c r="B34" t="s">
        <v>72</v>
      </c>
      <c r="C34">
        <v>6</v>
      </c>
      <c r="D34">
        <v>16</v>
      </c>
      <c r="E34">
        <v>7</v>
      </c>
      <c r="F34">
        <v>5.7722833007573998E-2</v>
      </c>
      <c r="G34" t="b">
        <v>1</v>
      </c>
      <c r="H34" t="s">
        <v>155</v>
      </c>
    </row>
    <row r="35" spans="1:8" x14ac:dyDescent="0.2">
      <c r="A35">
        <v>7</v>
      </c>
      <c r="B35" t="s">
        <v>64</v>
      </c>
      <c r="C35">
        <v>6</v>
      </c>
      <c r="D35">
        <v>16</v>
      </c>
      <c r="E35">
        <v>8</v>
      </c>
      <c r="F35">
        <v>0.210224000038579</v>
      </c>
      <c r="G35" t="b">
        <v>1</v>
      </c>
      <c r="H35" t="s">
        <v>151</v>
      </c>
    </row>
    <row r="36" spans="1:8" x14ac:dyDescent="0.2">
      <c r="A36">
        <v>5</v>
      </c>
      <c r="B36" t="s">
        <v>70</v>
      </c>
      <c r="C36">
        <v>6</v>
      </c>
      <c r="D36">
        <v>17</v>
      </c>
      <c r="E36">
        <v>9</v>
      </c>
      <c r="F36">
        <v>0.22342179098632101</v>
      </c>
      <c r="G36" t="b">
        <v>1</v>
      </c>
      <c r="H36" t="s">
        <v>150</v>
      </c>
    </row>
    <row r="37" spans="1:8" x14ac:dyDescent="0.2">
      <c r="A37">
        <v>8</v>
      </c>
      <c r="B37" t="s">
        <v>66</v>
      </c>
      <c r="C37">
        <v>6</v>
      </c>
      <c r="D37">
        <v>14</v>
      </c>
      <c r="E37">
        <v>8</v>
      </c>
      <c r="F37">
        <v>0.20550999999977601</v>
      </c>
      <c r="G37" t="b">
        <v>1</v>
      </c>
      <c r="H37" t="s">
        <v>149</v>
      </c>
    </row>
    <row r="38" spans="1:8" x14ac:dyDescent="0.2">
      <c r="A38">
        <v>6</v>
      </c>
      <c r="B38" t="s">
        <v>68</v>
      </c>
      <c r="C38">
        <v>6</v>
      </c>
      <c r="D38">
        <v>14</v>
      </c>
      <c r="E38">
        <v>7</v>
      </c>
      <c r="F38">
        <v>0.204421625006943</v>
      </c>
      <c r="G38" t="b">
        <v>1</v>
      </c>
      <c r="H38" t="s">
        <v>148</v>
      </c>
    </row>
    <row r="39" spans="1:8" x14ac:dyDescent="0.2">
      <c r="A39">
        <v>2</v>
      </c>
      <c r="B39" t="s">
        <v>78</v>
      </c>
      <c r="C39">
        <v>7</v>
      </c>
      <c r="D39">
        <v>16</v>
      </c>
      <c r="E39">
        <v>8</v>
      </c>
      <c r="F39">
        <v>0.26048387505579701</v>
      </c>
      <c r="G39" t="b">
        <v>1</v>
      </c>
      <c r="H39" t="s">
        <v>154</v>
      </c>
    </row>
    <row r="40" spans="1:8" x14ac:dyDescent="0.2">
      <c r="A40">
        <v>4</v>
      </c>
      <c r="B40" t="s">
        <v>80</v>
      </c>
      <c r="C40">
        <v>7</v>
      </c>
      <c r="D40">
        <v>19</v>
      </c>
      <c r="E40">
        <v>8</v>
      </c>
      <c r="F40">
        <v>0.31971325003542</v>
      </c>
      <c r="G40" t="b">
        <v>1</v>
      </c>
      <c r="H40" t="s">
        <v>157</v>
      </c>
    </row>
    <row r="41" spans="1:8" x14ac:dyDescent="0.2">
      <c r="A41">
        <v>9</v>
      </c>
      <c r="B41" t="s">
        <v>82</v>
      </c>
      <c r="C41">
        <v>7</v>
      </c>
      <c r="D41">
        <v>17</v>
      </c>
      <c r="E41">
        <v>7</v>
      </c>
      <c r="F41">
        <v>8.72684170026332E-2</v>
      </c>
      <c r="G41" t="b">
        <v>1</v>
      </c>
      <c r="H41" t="s">
        <v>156</v>
      </c>
    </row>
    <row r="42" spans="1:8" x14ac:dyDescent="0.2">
      <c r="A42">
        <v>3</v>
      </c>
      <c r="B42" t="s">
        <v>74</v>
      </c>
      <c r="C42">
        <v>7</v>
      </c>
      <c r="D42">
        <v>18</v>
      </c>
      <c r="E42">
        <v>8</v>
      </c>
      <c r="F42">
        <v>0.249497416079975</v>
      </c>
      <c r="G42" t="b">
        <v>1</v>
      </c>
      <c r="H42" t="s">
        <v>153</v>
      </c>
    </row>
    <row r="43" spans="1:8" x14ac:dyDescent="0.2">
      <c r="A43">
        <v>1</v>
      </c>
      <c r="B43" t="s">
        <v>76</v>
      </c>
      <c r="C43">
        <v>7</v>
      </c>
      <c r="D43">
        <v>17</v>
      </c>
      <c r="E43">
        <v>7</v>
      </c>
      <c r="F43">
        <v>0.23492333397734899</v>
      </c>
      <c r="G43" t="b">
        <v>1</v>
      </c>
      <c r="H43" t="s">
        <v>152</v>
      </c>
    </row>
  </sheetData>
  <sortState xmlns:xlrd2="http://schemas.microsoft.com/office/spreadsheetml/2017/richdata2" ref="A19:H43">
    <sortCondition ref="B19:B43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37F9-6385-EF4A-BEC2-011654D0A67F}">
  <dimension ref="A4:I59"/>
  <sheetViews>
    <sheetView topLeftCell="A26" workbookViewId="0">
      <selection activeCell="A53" sqref="A53"/>
    </sheetView>
  </sheetViews>
  <sheetFormatPr baseColWidth="10" defaultRowHeight="16" x14ac:dyDescent="0.2"/>
  <sheetData>
    <row r="4" spans="1:9" x14ac:dyDescent="0.2">
      <c r="B4" t="s">
        <v>121</v>
      </c>
      <c r="G4" t="s">
        <v>122</v>
      </c>
    </row>
    <row r="5" spans="1:9" x14ac:dyDescent="0.2">
      <c r="B5" t="s">
        <v>119</v>
      </c>
      <c r="C5" t="s">
        <v>124</v>
      </c>
      <c r="D5" t="s">
        <v>123</v>
      </c>
      <c r="G5" t="str">
        <f>B5</f>
        <v>pol</v>
      </c>
      <c r="H5" t="str">
        <f t="shared" ref="H5:I5" si="0">C5</f>
        <v>greedy</v>
      </c>
      <c r="I5" t="str">
        <f t="shared" si="0"/>
        <v>astar</v>
      </c>
    </row>
    <row r="6" spans="1:9" x14ac:dyDescent="0.2">
      <c r="A6" t="s">
        <v>92</v>
      </c>
      <c r="B6">
        <f>'pol-CX'!L9</f>
        <v>2</v>
      </c>
      <c r="C6">
        <f>'greedy-CX'!D19</f>
        <v>2</v>
      </c>
      <c r="D6">
        <f>'astar-CX'!D19</f>
        <v>2</v>
      </c>
      <c r="G6">
        <f>'pol-CX'!M9</f>
        <v>0.09</v>
      </c>
      <c r="H6">
        <f>'greedy-CX'!F19</f>
        <v>1.36466603726148E-3</v>
      </c>
      <c r="I6">
        <f>'astar-CX'!F19</f>
        <v>1.1432080063968799E-3</v>
      </c>
    </row>
    <row r="7" spans="1:9" x14ac:dyDescent="0.2">
      <c r="A7" t="s">
        <v>93</v>
      </c>
      <c r="B7">
        <f>'pol-CX'!L10</f>
        <v>3</v>
      </c>
      <c r="C7">
        <f>'greedy-CX'!D20</f>
        <v>3</v>
      </c>
      <c r="D7">
        <f>'astar-CX'!D20</f>
        <v>3</v>
      </c>
      <c r="G7">
        <f>'pol-CX'!M10</f>
        <v>0.06</v>
      </c>
      <c r="H7">
        <f>'greedy-CX'!F20</f>
        <v>4.0977500611916098E-3</v>
      </c>
      <c r="I7">
        <f>'astar-CX'!F20</f>
        <v>1.85220804996788E-3</v>
      </c>
    </row>
    <row r="8" spans="1:9" x14ac:dyDescent="0.2">
      <c r="A8" t="s">
        <v>94</v>
      </c>
      <c r="B8">
        <f>'pol-CX'!L11</f>
        <v>3</v>
      </c>
      <c r="C8">
        <f>'greedy-CX'!D21</f>
        <v>3</v>
      </c>
      <c r="D8">
        <f>'astar-CX'!D21</f>
        <v>3</v>
      </c>
      <c r="G8">
        <f>'pol-CX'!M11</f>
        <v>0.05</v>
      </c>
      <c r="H8">
        <f>'greedy-CX'!F21</f>
        <v>0.165824374998919</v>
      </c>
      <c r="I8">
        <f>'astar-CX'!F21</f>
        <v>0.15917570900637601</v>
      </c>
    </row>
    <row r="9" spans="1:9" x14ac:dyDescent="0.2">
      <c r="A9" t="s">
        <v>95</v>
      </c>
      <c r="B9">
        <f>'pol-CX'!L12</f>
        <v>3</v>
      </c>
      <c r="C9">
        <f>'greedy-CX'!D22</f>
        <v>3</v>
      </c>
      <c r="D9">
        <f>'astar-CX'!D22</f>
        <v>3</v>
      </c>
      <c r="G9">
        <f>'pol-CX'!M12</f>
        <v>0.05</v>
      </c>
      <c r="H9">
        <f>'greedy-CX'!F22</f>
        <v>2.4357920046895699E-3</v>
      </c>
      <c r="I9">
        <f>'astar-CX'!F22</f>
        <v>1.8407499883323899E-3</v>
      </c>
    </row>
    <row r="10" spans="1:9" x14ac:dyDescent="0.2">
      <c r="A10" t="s">
        <v>96</v>
      </c>
      <c r="B10">
        <f>'pol-CX'!L13</f>
        <v>3</v>
      </c>
      <c r="C10">
        <f>'greedy-CX'!D23</f>
        <v>3</v>
      </c>
      <c r="D10">
        <f>'astar-CX'!D23</f>
        <v>3</v>
      </c>
      <c r="G10">
        <f>'pol-CX'!M13</f>
        <v>0.05</v>
      </c>
      <c r="H10">
        <f>'greedy-CX'!F23</f>
        <v>0.140611166949383</v>
      </c>
      <c r="I10">
        <f>'astar-CX'!F23</f>
        <v>0.14704945904668401</v>
      </c>
    </row>
    <row r="11" spans="1:9" x14ac:dyDescent="0.2">
      <c r="A11" t="s">
        <v>97</v>
      </c>
      <c r="B11">
        <f>'pol-CX'!L14</f>
        <v>5</v>
      </c>
      <c r="C11">
        <f>'greedy-CX'!D24</f>
        <v>5</v>
      </c>
      <c r="D11">
        <f>'astar-CX'!D24</f>
        <v>5</v>
      </c>
      <c r="G11">
        <f>'pol-CX'!M14</f>
        <v>0.5</v>
      </c>
      <c r="H11">
        <f>'greedy-CX'!F24</f>
        <v>0.17281283298507299</v>
      </c>
      <c r="I11">
        <f>'astar-CX'!F24</f>
        <v>0.317867583013139</v>
      </c>
    </row>
    <row r="12" spans="1:9" x14ac:dyDescent="0.2">
      <c r="A12" t="s">
        <v>100</v>
      </c>
      <c r="B12">
        <f>'pol-CX'!L15</f>
        <v>5</v>
      </c>
      <c r="C12">
        <f>'greedy-CX'!D25</f>
        <v>5</v>
      </c>
      <c r="D12">
        <f>'astar-CX'!D25</f>
        <v>5</v>
      </c>
      <c r="G12">
        <f>'pol-CX'!M15</f>
        <v>0.71</v>
      </c>
      <c r="H12">
        <f>'greedy-CX'!F25</f>
        <v>0.19763824995607099</v>
      </c>
      <c r="I12">
        <f>'astar-CX'!F25</f>
        <v>0.30191483302041799</v>
      </c>
    </row>
    <row r="13" spans="1:9" x14ac:dyDescent="0.2">
      <c r="A13" t="s">
        <v>101</v>
      </c>
      <c r="B13">
        <f>'pol-CX'!L16</f>
        <v>4</v>
      </c>
      <c r="C13">
        <f>'greedy-CX'!D26</f>
        <v>4</v>
      </c>
      <c r="D13">
        <f>'astar-CX'!D26</f>
        <v>4</v>
      </c>
      <c r="G13">
        <f>'pol-CX'!M16</f>
        <v>7.0000000000000007E-2</v>
      </c>
      <c r="H13">
        <f>'greedy-CX'!F26</f>
        <v>7.7315419912338196E-3</v>
      </c>
      <c r="I13">
        <f>'astar-CX'!F26</f>
        <v>7.0140419993549499E-3</v>
      </c>
    </row>
    <row r="14" spans="1:9" x14ac:dyDescent="0.2">
      <c r="A14" t="s">
        <v>102</v>
      </c>
      <c r="B14">
        <f>'pol-CX'!L17</f>
        <v>5</v>
      </c>
      <c r="C14">
        <f>'greedy-CX'!D27</f>
        <v>6</v>
      </c>
      <c r="D14">
        <f>'astar-CX'!D27</f>
        <v>5</v>
      </c>
      <c r="G14">
        <f>'pol-CX'!M17</f>
        <v>0.33</v>
      </c>
      <c r="H14">
        <f>'greedy-CX'!F27</f>
        <v>0.18062254099640901</v>
      </c>
      <c r="I14">
        <f>'astar-CX'!F27</f>
        <v>0.29648037499282498</v>
      </c>
    </row>
    <row r="15" spans="1:9" x14ac:dyDescent="0.2">
      <c r="A15" t="s">
        <v>103</v>
      </c>
      <c r="B15">
        <f>'pol-CX'!L18</f>
        <v>5</v>
      </c>
      <c r="C15">
        <f>'greedy-CX'!D28</f>
        <v>5</v>
      </c>
      <c r="D15">
        <f>'astar-CX'!D28</f>
        <v>5</v>
      </c>
      <c r="G15">
        <f>'pol-CX'!M18</f>
        <v>0.35</v>
      </c>
      <c r="H15">
        <f>'greedy-CX'!F28</f>
        <v>0.16090487502515299</v>
      </c>
      <c r="I15">
        <f>'astar-CX'!F28</f>
        <v>0.28733524994458998</v>
      </c>
    </row>
    <row r="16" spans="1:9" x14ac:dyDescent="0.2">
      <c r="A16" t="s">
        <v>104</v>
      </c>
      <c r="B16">
        <f>'pol-CX'!L19</f>
        <v>8</v>
      </c>
      <c r="C16">
        <f>'greedy-CX'!D29</f>
        <v>8</v>
      </c>
      <c r="D16">
        <f>'astar-CX'!D29</f>
        <v>8</v>
      </c>
      <c r="G16">
        <f>'pol-CX'!M19</f>
        <v>151.19999999999999</v>
      </c>
      <c r="H16">
        <f>'greedy-CX'!F29</f>
        <v>0.16940670902840699</v>
      </c>
      <c r="I16">
        <f>'astar-CX'!F29</f>
        <v>8.5863743750378401</v>
      </c>
    </row>
    <row r="17" spans="1:9" x14ac:dyDescent="0.2">
      <c r="A17" t="s">
        <v>105</v>
      </c>
      <c r="B17">
        <f>'pol-CX'!L20</f>
        <v>8</v>
      </c>
      <c r="C17">
        <f>'greedy-CX'!D30</f>
        <v>9</v>
      </c>
      <c r="D17">
        <f>'astar-CX'!D30</f>
        <v>8</v>
      </c>
      <c r="G17">
        <f>'pol-CX'!M20</f>
        <v>126.5</v>
      </c>
      <c r="H17">
        <f>'greedy-CX'!F30</f>
        <v>2.2075916989706401E-2</v>
      </c>
      <c r="I17">
        <f>'astar-CX'!F30</f>
        <v>8.1792197920149192</v>
      </c>
    </row>
    <row r="18" spans="1:9" x14ac:dyDescent="0.2">
      <c r="A18" t="s">
        <v>106</v>
      </c>
      <c r="B18">
        <f>'pol-CX'!L21</f>
        <v>7</v>
      </c>
      <c r="C18">
        <f>'greedy-CX'!D31</f>
        <v>8</v>
      </c>
      <c r="D18">
        <f>'astar-CX'!D31</f>
        <v>7</v>
      </c>
      <c r="G18">
        <f>'pol-CX'!M21</f>
        <v>56.6</v>
      </c>
      <c r="H18">
        <f>'greedy-CX'!F31</f>
        <v>0.21497229090891701</v>
      </c>
      <c r="I18">
        <f>'astar-CX'!F31</f>
        <v>3.3571845410624501</v>
      </c>
    </row>
    <row r="19" spans="1:9" x14ac:dyDescent="0.2">
      <c r="A19" t="s">
        <v>107</v>
      </c>
      <c r="B19">
        <f>'pol-CX'!L22</f>
        <v>7</v>
      </c>
      <c r="C19">
        <f>'greedy-CX'!D32</f>
        <v>7</v>
      </c>
      <c r="D19">
        <f>'astar-CX'!D32</f>
        <v>7</v>
      </c>
      <c r="G19">
        <f>'pol-CX'!M22</f>
        <v>9.25</v>
      </c>
      <c r="H19">
        <f>'greedy-CX'!F32</f>
        <v>2.10697499569505E-2</v>
      </c>
      <c r="I19">
        <f>'astar-CX'!F32</f>
        <v>5.4314890420064303</v>
      </c>
    </row>
    <row r="20" spans="1:9" x14ac:dyDescent="0.2">
      <c r="A20" t="s">
        <v>108</v>
      </c>
      <c r="B20">
        <f>'pol-CX'!L23</f>
        <v>6</v>
      </c>
      <c r="C20">
        <f>'greedy-CX'!D33</f>
        <v>6</v>
      </c>
      <c r="D20">
        <f>'astar-CX'!D33</f>
        <v>6</v>
      </c>
      <c r="G20">
        <f>'pol-CX'!M23</f>
        <v>7.88</v>
      </c>
      <c r="H20">
        <f>'greedy-CX'!F33</f>
        <v>1.0386958951130501E-2</v>
      </c>
      <c r="I20">
        <f>'astar-CX'!F33</f>
        <v>0.57589329197071404</v>
      </c>
    </row>
    <row r="21" spans="1:9" x14ac:dyDescent="0.2">
      <c r="A21" t="s">
        <v>109</v>
      </c>
      <c r="B21">
        <f>'pol-CX'!L24</f>
        <v>11</v>
      </c>
      <c r="C21">
        <f>'greedy-CX'!D34</f>
        <v>12</v>
      </c>
      <c r="D21">
        <f>'astar-CX'!D34</f>
        <v>11</v>
      </c>
      <c r="G21" t="str">
        <f>'pol-CX'!M24</f>
        <v>TO</v>
      </c>
      <c r="H21">
        <f>'greedy-CX'!F34</f>
        <v>4.4532959000207401E-2</v>
      </c>
      <c r="I21">
        <f>'astar-CX'!F34</f>
        <v>38.082238000002597</v>
      </c>
    </row>
    <row r="22" spans="1:9" x14ac:dyDescent="0.2">
      <c r="A22" t="s">
        <v>110</v>
      </c>
      <c r="B22">
        <f>'pol-CX'!L25</f>
        <v>11</v>
      </c>
      <c r="C22">
        <f>'greedy-CX'!D35</f>
        <v>12</v>
      </c>
      <c r="D22">
        <f>'astar-CX'!D35</f>
        <v>10</v>
      </c>
      <c r="G22" t="str">
        <f>'pol-CX'!M25</f>
        <v>TO</v>
      </c>
      <c r="H22">
        <f>'greedy-CX'!F35</f>
        <v>0.19739687500987199</v>
      </c>
      <c r="I22">
        <f>'astar-CX'!F35</f>
        <v>31.986065458040599</v>
      </c>
    </row>
    <row r="23" spans="1:9" x14ac:dyDescent="0.2">
      <c r="A23" t="s">
        <v>111</v>
      </c>
      <c r="B23">
        <f>'pol-CX'!L26</f>
        <v>12</v>
      </c>
      <c r="C23">
        <f>'greedy-CX'!D36</f>
        <v>11</v>
      </c>
      <c r="D23">
        <f>'astar-CX'!D36</f>
        <v>11</v>
      </c>
      <c r="G23" t="str">
        <f>'pol-CX'!M26</f>
        <v>TO</v>
      </c>
      <c r="H23">
        <f>'greedy-CX'!F36</f>
        <v>0.21208737499546201</v>
      </c>
      <c r="I23">
        <f>'astar-CX'!F36</f>
        <v>39.349230292020302</v>
      </c>
    </row>
    <row r="24" spans="1:9" x14ac:dyDescent="0.2">
      <c r="A24" t="s">
        <v>112</v>
      </c>
      <c r="B24">
        <f>'pol-CX'!L27</f>
        <v>10</v>
      </c>
      <c r="C24">
        <f>'greedy-CX'!D37</f>
        <v>10</v>
      </c>
      <c r="D24">
        <f>'astar-CX'!D37</f>
        <v>10</v>
      </c>
      <c r="G24" t="str">
        <f>'pol-CX'!M27</f>
        <v>TO</v>
      </c>
      <c r="H24">
        <f>'greedy-CX'!F37</f>
        <v>0.20205420802813001</v>
      </c>
      <c r="I24">
        <f>'astar-CX'!F37</f>
        <v>32.574585624970403</v>
      </c>
    </row>
    <row r="25" spans="1:9" x14ac:dyDescent="0.2">
      <c r="A25" t="s">
        <v>113</v>
      </c>
      <c r="B25">
        <f>'pol-CX'!L28</f>
        <v>11</v>
      </c>
      <c r="C25">
        <f>'greedy-CX'!D38</f>
        <v>11</v>
      </c>
      <c r="D25">
        <f>'astar-CX'!D38</f>
        <v>11</v>
      </c>
      <c r="G25" t="str">
        <f>'pol-CX'!M28</f>
        <v>TO</v>
      </c>
      <c r="H25">
        <f>'greedy-CX'!F38</f>
        <v>0.20489454106427701</v>
      </c>
      <c r="I25">
        <f>'astar-CX'!F38</f>
        <v>39.0839939999859</v>
      </c>
    </row>
    <row r="26" spans="1:9" x14ac:dyDescent="0.2">
      <c r="A26" t="s">
        <v>114</v>
      </c>
      <c r="B26">
        <f>'pol-CX'!L29</f>
        <v>19</v>
      </c>
      <c r="C26">
        <f>'greedy-CX'!D39</f>
        <v>16</v>
      </c>
      <c r="D26">
        <f>'astar-CX'!D39</f>
        <v>14</v>
      </c>
      <c r="G26" t="str">
        <f>'pol-CX'!M29</f>
        <v>TO</v>
      </c>
      <c r="H26">
        <f>'greedy-CX'!F39</f>
        <v>0.24836341699119599</v>
      </c>
      <c r="I26">
        <f>'astar-CX'!F39</f>
        <v>77.754523124895002</v>
      </c>
    </row>
    <row r="27" spans="1:9" x14ac:dyDescent="0.2">
      <c r="A27" t="s">
        <v>115</v>
      </c>
      <c r="B27">
        <f>'pol-CX'!L30</f>
        <v>17</v>
      </c>
      <c r="C27">
        <f>'greedy-CX'!D40</f>
        <v>16</v>
      </c>
      <c r="D27">
        <f>'astar-CX'!D40</f>
        <v>14</v>
      </c>
      <c r="G27" t="str">
        <f>'pol-CX'!M30</f>
        <v>TO</v>
      </c>
      <c r="H27">
        <f>'greedy-CX'!F40</f>
        <v>0.232815833063796</v>
      </c>
      <c r="I27">
        <f>'astar-CX'!F40</f>
        <v>78.3583883750252</v>
      </c>
    </row>
    <row r="28" spans="1:9" x14ac:dyDescent="0.2">
      <c r="A28" t="s">
        <v>116</v>
      </c>
      <c r="B28" t="str">
        <f>'pol-CX'!L31</f>
        <v>-</v>
      </c>
      <c r="C28">
        <f>'greedy-CX'!D41</f>
        <v>17</v>
      </c>
      <c r="D28">
        <f>'astar-CX'!D41</f>
        <v>14</v>
      </c>
      <c r="G28" t="str">
        <f>'pol-CX'!M31</f>
        <v>TO</v>
      </c>
      <c r="H28">
        <f>'greedy-CX'!F41</f>
        <v>7.6896374928764999E-2</v>
      </c>
      <c r="I28">
        <f>'astar-CX'!F41</f>
        <v>65.142169042024705</v>
      </c>
    </row>
    <row r="29" spans="1:9" x14ac:dyDescent="0.2">
      <c r="A29" t="s">
        <v>117</v>
      </c>
      <c r="B29">
        <f>'pol-CX'!L32</f>
        <v>17</v>
      </c>
      <c r="C29">
        <f>'greedy-CX'!D42</f>
        <v>14</v>
      </c>
      <c r="D29">
        <f>'astar-CX'!D42</f>
        <v>13</v>
      </c>
      <c r="G29" t="str">
        <f>'pol-CX'!M32</f>
        <v>TO</v>
      </c>
      <c r="H29">
        <f>'greedy-CX'!F42</f>
        <v>0.21032366703729999</v>
      </c>
      <c r="I29">
        <f>'astar-CX'!F42</f>
        <v>70.924150041071698</v>
      </c>
    </row>
    <row r="30" spans="1:9" x14ac:dyDescent="0.2">
      <c r="A30" t="s">
        <v>118</v>
      </c>
      <c r="B30">
        <f>'pol-CX'!L33</f>
        <v>19</v>
      </c>
      <c r="C30">
        <f>'greedy-CX'!D43</f>
        <v>16</v>
      </c>
      <c r="D30">
        <f>'astar-CX'!D43</f>
        <v>14</v>
      </c>
      <c r="G30" t="str">
        <f>'pol-CX'!M33</f>
        <v>TO</v>
      </c>
      <c r="H30">
        <f>'greedy-CX'!F43</f>
        <v>0.21962337510194599</v>
      </c>
      <c r="I30">
        <f>'astar-CX'!F43</f>
        <v>76.190950082964207</v>
      </c>
    </row>
    <row r="33" spans="1:9" x14ac:dyDescent="0.2">
      <c r="B33" t="s">
        <v>158</v>
      </c>
      <c r="G33" t="s">
        <v>122</v>
      </c>
    </row>
    <row r="34" spans="1:9" x14ac:dyDescent="0.2">
      <c r="B34" t="s">
        <v>119</v>
      </c>
      <c r="C34" t="s">
        <v>124</v>
      </c>
      <c r="D34" t="s">
        <v>123</v>
      </c>
      <c r="G34" t="str">
        <f>B34</f>
        <v>pol</v>
      </c>
      <c r="H34" t="str">
        <f t="shared" ref="H34" si="1">C34</f>
        <v>greedy</v>
      </c>
      <c r="I34" t="str">
        <f t="shared" ref="I34" si="2">D34</f>
        <v>astar</v>
      </c>
    </row>
    <row r="35" spans="1:9" x14ac:dyDescent="0.2">
      <c r="A35" t="s">
        <v>92</v>
      </c>
      <c r="B35">
        <f>'pol-depth'!L5</f>
        <v>2</v>
      </c>
      <c r="C35">
        <f>'greedy-D'!E19</f>
        <v>2</v>
      </c>
      <c r="D35">
        <f>'astar-D'!E19</f>
        <v>2</v>
      </c>
      <c r="G35">
        <f>'pol-depth'!M5</f>
        <v>0.09</v>
      </c>
      <c r="H35">
        <f>'greedy-D'!F19</f>
        <v>1.4273329870775301E-3</v>
      </c>
      <c r="I35">
        <f>'astar-D'!F19</f>
        <v>1.21304206550121E-3</v>
      </c>
    </row>
    <row r="36" spans="1:9" x14ac:dyDescent="0.2">
      <c r="A36" t="s">
        <v>93</v>
      </c>
      <c r="B36">
        <f>'pol-depth'!L6</f>
        <v>3</v>
      </c>
      <c r="C36">
        <f>'greedy-D'!E20</f>
        <v>3</v>
      </c>
      <c r="D36">
        <f>'astar-D'!E20</f>
        <v>3</v>
      </c>
      <c r="G36">
        <f>'pol-depth'!M6</f>
        <v>0.05</v>
      </c>
      <c r="H36">
        <f>'greedy-D'!F20</f>
        <v>2.4793749907985299E-3</v>
      </c>
      <c r="I36">
        <f>'astar-D'!F20</f>
        <v>4.9567499663680696E-3</v>
      </c>
    </row>
    <row r="37" spans="1:9" x14ac:dyDescent="0.2">
      <c r="A37" t="s">
        <v>94</v>
      </c>
      <c r="B37">
        <f>'pol-depth'!L7</f>
        <v>3</v>
      </c>
      <c r="C37">
        <f>'greedy-D'!E21</f>
        <v>3</v>
      </c>
      <c r="D37">
        <f>'astar-D'!E21</f>
        <v>3</v>
      </c>
      <c r="G37">
        <f>'pol-depth'!M7</f>
        <v>0.04</v>
      </c>
      <c r="H37">
        <f>'greedy-D'!F21</f>
        <v>0.178826790885068</v>
      </c>
      <c r="I37">
        <f>'astar-D'!F21</f>
        <v>0.14219829195644701</v>
      </c>
    </row>
    <row r="38" spans="1:9" x14ac:dyDescent="0.2">
      <c r="A38" t="s">
        <v>95</v>
      </c>
      <c r="B38">
        <f>'pol-depth'!L8</f>
        <v>3</v>
      </c>
      <c r="C38">
        <f>'greedy-D'!E22</f>
        <v>3</v>
      </c>
      <c r="D38">
        <f>'astar-D'!E22</f>
        <v>3</v>
      </c>
      <c r="G38">
        <f>'pol-depth'!M8</f>
        <v>0.05</v>
      </c>
      <c r="H38">
        <f>'greedy-D'!F22</f>
        <v>2.3093749769032001E-3</v>
      </c>
      <c r="I38">
        <f>'astar-D'!F22</f>
        <v>6.5634170314297002E-3</v>
      </c>
    </row>
    <row r="39" spans="1:9" x14ac:dyDescent="0.2">
      <c r="A39" t="s">
        <v>96</v>
      </c>
      <c r="B39">
        <f>'pol-depth'!L9</f>
        <v>3</v>
      </c>
      <c r="C39">
        <f>'greedy-D'!E23</f>
        <v>3</v>
      </c>
      <c r="D39">
        <f>'astar-D'!E23</f>
        <v>3</v>
      </c>
      <c r="G39">
        <f>'pol-depth'!M9</f>
        <v>0.05</v>
      </c>
      <c r="H39">
        <f>'greedy-D'!F23</f>
        <v>0.16332175000570701</v>
      </c>
      <c r="I39">
        <f>'astar-D'!F23</f>
        <v>0.14835375000257001</v>
      </c>
    </row>
    <row r="40" spans="1:9" x14ac:dyDescent="0.2">
      <c r="A40" t="s">
        <v>97</v>
      </c>
      <c r="B40">
        <f>'pol-depth'!L10</f>
        <v>3</v>
      </c>
      <c r="C40">
        <f>'greedy-D'!E24</f>
        <v>4</v>
      </c>
      <c r="D40">
        <f>'astar-D'!E24</f>
        <v>4</v>
      </c>
      <c r="G40">
        <f>'pol-depth'!M10</f>
        <v>0.1</v>
      </c>
      <c r="H40">
        <f>'greedy-D'!F24</f>
        <v>0.17976483306847499</v>
      </c>
      <c r="I40">
        <f>'astar-D'!F24</f>
        <v>0.15510562493000099</v>
      </c>
    </row>
    <row r="41" spans="1:9" x14ac:dyDescent="0.2">
      <c r="A41" t="s">
        <v>100</v>
      </c>
      <c r="B41">
        <f>'pol-depth'!L11</f>
        <v>3</v>
      </c>
      <c r="C41">
        <f>'greedy-D'!E25</f>
        <v>3</v>
      </c>
      <c r="D41">
        <f>'astar-D'!E25</f>
        <v>3</v>
      </c>
      <c r="G41">
        <f>'pol-depth'!M11</f>
        <v>0.56999999999999995</v>
      </c>
      <c r="H41">
        <f>'greedy-D'!F25</f>
        <v>0.14446400001179399</v>
      </c>
      <c r="I41">
        <f>'astar-D'!F25</f>
        <v>0.15099275007378299</v>
      </c>
    </row>
    <row r="42" spans="1:9" x14ac:dyDescent="0.2">
      <c r="A42" t="s">
        <v>101</v>
      </c>
      <c r="B42">
        <f>'pol-depth'!L12</f>
        <v>3</v>
      </c>
      <c r="C42">
        <f>'greedy-D'!E26</f>
        <v>3</v>
      </c>
      <c r="D42">
        <f>'astar-D'!E26</f>
        <v>3</v>
      </c>
      <c r="G42">
        <f>'pol-depth'!M12</f>
        <v>0.05</v>
      </c>
      <c r="H42">
        <f>'greedy-D'!F26</f>
        <v>8.78299993928521E-3</v>
      </c>
      <c r="I42">
        <f>'astar-D'!F26</f>
        <v>6.2797919381409797E-3</v>
      </c>
    </row>
    <row r="43" spans="1:9" x14ac:dyDescent="0.2">
      <c r="A43" t="s">
        <v>102</v>
      </c>
      <c r="B43">
        <f>'pol-depth'!L13</f>
        <v>3</v>
      </c>
      <c r="C43">
        <f>'greedy-D'!E27</f>
        <v>4</v>
      </c>
      <c r="D43">
        <f>'astar-D'!E27</f>
        <v>4</v>
      </c>
      <c r="G43">
        <f>'pol-depth'!M13</f>
        <v>0.1</v>
      </c>
      <c r="H43">
        <f>'greedy-D'!F27</f>
        <v>0.181077374960295</v>
      </c>
      <c r="I43">
        <f>'astar-D'!F27</f>
        <v>0.152493541012518</v>
      </c>
    </row>
    <row r="44" spans="1:9" x14ac:dyDescent="0.2">
      <c r="A44" t="s">
        <v>103</v>
      </c>
      <c r="B44">
        <f>'pol-depth'!L14</f>
        <v>3</v>
      </c>
      <c r="C44">
        <f>'greedy-D'!E28</f>
        <v>3</v>
      </c>
      <c r="D44">
        <f>'astar-D'!E28</f>
        <v>3</v>
      </c>
      <c r="G44">
        <f>'pol-depth'!M14</f>
        <v>0.36</v>
      </c>
      <c r="H44">
        <f>'greedy-D'!F28</f>
        <v>0.20450687489937899</v>
      </c>
      <c r="I44">
        <f>'astar-D'!F28</f>
        <v>0.170164125040173</v>
      </c>
    </row>
    <row r="45" spans="1:9" x14ac:dyDescent="0.2">
      <c r="A45" t="s">
        <v>104</v>
      </c>
      <c r="B45">
        <f>'pol-depth'!L15</f>
        <v>4</v>
      </c>
      <c r="C45">
        <f>'greedy-D'!E29</f>
        <v>5</v>
      </c>
      <c r="D45">
        <f>'astar-D'!E29</f>
        <v>5</v>
      </c>
      <c r="G45">
        <f>'pol-depth'!M15</f>
        <v>4.5599999999999996</v>
      </c>
      <c r="H45">
        <f>'greedy-D'!F29</f>
        <v>0.186842082999646</v>
      </c>
      <c r="I45">
        <f>'astar-D'!F29</f>
        <v>1.7356982079800201</v>
      </c>
    </row>
    <row r="46" spans="1:9" x14ac:dyDescent="0.2">
      <c r="A46" t="s">
        <v>105</v>
      </c>
      <c r="B46">
        <f>'pol-depth'!L16</f>
        <v>4</v>
      </c>
      <c r="C46">
        <f>'greedy-D'!E30</f>
        <v>5</v>
      </c>
      <c r="D46">
        <f>'astar-D'!E30</f>
        <v>5</v>
      </c>
      <c r="G46">
        <f>'pol-depth'!M16</f>
        <v>7</v>
      </c>
      <c r="H46">
        <f>'greedy-D'!F30</f>
        <v>3.1381375039927599E-2</v>
      </c>
      <c r="I46">
        <f>'astar-D'!F30</f>
        <v>2.1582919580396198</v>
      </c>
    </row>
    <row r="47" spans="1:9" x14ac:dyDescent="0.2">
      <c r="A47" t="s">
        <v>106</v>
      </c>
      <c r="B47">
        <f>'pol-depth'!L17</f>
        <v>4</v>
      </c>
      <c r="C47">
        <f>'greedy-D'!E31</f>
        <v>5</v>
      </c>
      <c r="D47">
        <f>'astar-D'!E31</f>
        <v>5</v>
      </c>
      <c r="G47">
        <f>'pol-depth'!M17</f>
        <v>6.98</v>
      </c>
      <c r="H47">
        <f>'greedy-D'!F31</f>
        <v>0.17594262503553099</v>
      </c>
      <c r="I47">
        <f>'astar-D'!F31</f>
        <v>0.21446733304765001</v>
      </c>
    </row>
    <row r="48" spans="1:9" x14ac:dyDescent="0.2">
      <c r="A48" t="s">
        <v>107</v>
      </c>
      <c r="B48">
        <f>'pol-depth'!L18</f>
        <v>4</v>
      </c>
      <c r="C48">
        <f>'greedy-D'!E32</f>
        <v>5</v>
      </c>
      <c r="D48">
        <f>'astar-D'!E32</f>
        <v>4</v>
      </c>
      <c r="G48">
        <f>'pol-depth'!M18</f>
        <v>4.9800000000000004</v>
      </c>
      <c r="H48">
        <f>'greedy-D'!F32</f>
        <v>2.0439292071387099E-2</v>
      </c>
      <c r="I48">
        <f>'astar-D'!F32</f>
        <v>5.26862499536946E-2</v>
      </c>
    </row>
    <row r="49" spans="1:9" x14ac:dyDescent="0.2">
      <c r="A49" t="s">
        <v>108</v>
      </c>
      <c r="B49">
        <f>'pol-depth'!L19</f>
        <v>4</v>
      </c>
      <c r="C49">
        <f>'greedy-D'!E33</f>
        <v>5</v>
      </c>
      <c r="D49">
        <f>'astar-D'!E33</f>
        <v>4</v>
      </c>
      <c r="G49">
        <f>'pol-depth'!M19</f>
        <v>5.41</v>
      </c>
      <c r="H49">
        <f>'greedy-D'!F33</f>
        <v>1.8939333036541901E-2</v>
      </c>
      <c r="I49">
        <f>'astar-D'!F33</f>
        <v>2.5526500074192798E-2</v>
      </c>
    </row>
    <row r="50" spans="1:9" x14ac:dyDescent="0.2">
      <c r="A50" t="s">
        <v>109</v>
      </c>
      <c r="B50">
        <f>'pol-depth'!L20</f>
        <v>5</v>
      </c>
      <c r="C50">
        <f>'greedy-D'!E34</f>
        <v>7</v>
      </c>
      <c r="D50">
        <f>'astar-D'!E34</f>
        <v>6</v>
      </c>
      <c r="G50">
        <f>'pol-depth'!M20</f>
        <v>607.01</v>
      </c>
      <c r="H50">
        <f>'greedy-D'!F34</f>
        <v>5.7722833007573998E-2</v>
      </c>
      <c r="I50">
        <f>'astar-D'!F34</f>
        <v>54.168911417014897</v>
      </c>
    </row>
    <row r="51" spans="1:9" x14ac:dyDescent="0.2">
      <c r="A51" t="s">
        <v>110</v>
      </c>
      <c r="B51">
        <f>'pol-depth'!L21</f>
        <v>5</v>
      </c>
      <c r="C51">
        <f>'greedy-D'!E35</f>
        <v>8</v>
      </c>
      <c r="D51">
        <f>'astar-D'!E35</f>
        <v>5</v>
      </c>
      <c r="G51">
        <f>'pol-depth'!M21</f>
        <v>379.15</v>
      </c>
      <c r="H51">
        <f>'greedy-D'!F35</f>
        <v>0.210224000038579</v>
      </c>
      <c r="I51">
        <f>'astar-D'!F35</f>
        <v>62.839705458027296</v>
      </c>
    </row>
    <row r="52" spans="1:9" x14ac:dyDescent="0.2">
      <c r="A52" t="s">
        <v>111</v>
      </c>
      <c r="B52">
        <f>'pol-depth'!L22</f>
        <v>5</v>
      </c>
      <c r="C52">
        <f>'greedy-D'!E36</f>
        <v>9</v>
      </c>
      <c r="D52">
        <f>'astar-D'!E36</f>
        <v>6</v>
      </c>
      <c r="G52">
        <f>'pol-depth'!M22</f>
        <v>357.08</v>
      </c>
      <c r="H52">
        <f>'greedy-D'!F36</f>
        <v>0.22342179098632101</v>
      </c>
      <c r="I52">
        <f>'astar-D'!F36</f>
        <v>40.313515582936802</v>
      </c>
    </row>
    <row r="53" spans="1:9" x14ac:dyDescent="0.2">
      <c r="A53" t="s">
        <v>112</v>
      </c>
      <c r="B53">
        <f>'pol-depth'!L23</f>
        <v>5</v>
      </c>
      <c r="C53">
        <f>'greedy-D'!E37</f>
        <v>8</v>
      </c>
      <c r="D53">
        <f>'astar-D'!E37</f>
        <v>5</v>
      </c>
      <c r="G53">
        <f>'pol-depth'!M23</f>
        <v>587.76</v>
      </c>
      <c r="H53">
        <f>'greedy-D'!F37</f>
        <v>0.20550999999977601</v>
      </c>
      <c r="I53">
        <f>'astar-D'!F37</f>
        <v>38.702061916002997</v>
      </c>
    </row>
    <row r="54" spans="1:9" x14ac:dyDescent="0.2">
      <c r="A54" t="s">
        <v>113</v>
      </c>
      <c r="B54">
        <f>'pol-depth'!L24</f>
        <v>5</v>
      </c>
      <c r="C54">
        <f>'greedy-D'!E38</f>
        <v>7</v>
      </c>
      <c r="D54">
        <f>'astar-D'!E38</f>
        <v>6</v>
      </c>
      <c r="G54">
        <f>'pol-depth'!M24</f>
        <v>984.03</v>
      </c>
      <c r="H54">
        <f>'greedy-D'!F38</f>
        <v>0.204421625006943</v>
      </c>
      <c r="I54">
        <f>'astar-D'!F38</f>
        <v>74.855652875034096</v>
      </c>
    </row>
    <row r="55" spans="1:9" x14ac:dyDescent="0.2">
      <c r="A55" t="s">
        <v>114</v>
      </c>
      <c r="B55" t="str">
        <f>'pol-depth'!L25</f>
        <v>-</v>
      </c>
      <c r="C55">
        <f>'greedy-D'!E39</f>
        <v>8</v>
      </c>
      <c r="D55">
        <f>'astar-D'!E39</f>
        <v>7</v>
      </c>
      <c r="G55" t="str">
        <f>'pol-depth'!M25</f>
        <v>TO</v>
      </c>
      <c r="H55">
        <f>'greedy-D'!F39</f>
        <v>0.26048387505579701</v>
      </c>
      <c r="I55">
        <f>'astar-D'!F39</f>
        <v>449.68306229193598</v>
      </c>
    </row>
    <row r="56" spans="1:9" x14ac:dyDescent="0.2">
      <c r="A56" t="s">
        <v>115</v>
      </c>
      <c r="B56" t="str">
        <f>'pol-depth'!L26</f>
        <v>-</v>
      </c>
      <c r="C56">
        <f>'greedy-D'!E40</f>
        <v>8</v>
      </c>
      <c r="D56">
        <f>'astar-D'!E40</f>
        <v>7</v>
      </c>
      <c r="G56" t="str">
        <f>'pol-depth'!M26</f>
        <v>TO</v>
      </c>
      <c r="H56">
        <f>'greedy-D'!F40</f>
        <v>0.31971325003542</v>
      </c>
      <c r="I56">
        <f>'astar-D'!F40</f>
        <v>225.97729425004201</v>
      </c>
    </row>
    <row r="57" spans="1:9" x14ac:dyDescent="0.2">
      <c r="A57" t="s">
        <v>116</v>
      </c>
      <c r="B57" t="str">
        <f>'pol-depth'!L27</f>
        <v>-</v>
      </c>
      <c r="C57">
        <f>'greedy-D'!E41</f>
        <v>7</v>
      </c>
      <c r="D57">
        <f>'astar-D'!E41</f>
        <v>8</v>
      </c>
      <c r="G57" t="str">
        <f>'pol-depth'!M27</f>
        <v>TO</v>
      </c>
      <c r="H57">
        <f>'greedy-D'!F41</f>
        <v>8.72684170026332E-2</v>
      </c>
      <c r="I57">
        <f>'astar-D'!F41</f>
        <v>300.32536016602501</v>
      </c>
    </row>
    <row r="58" spans="1:9" x14ac:dyDescent="0.2">
      <c r="A58" t="s">
        <v>117</v>
      </c>
      <c r="B58">
        <f>'pol-depth'!L28</f>
        <v>12</v>
      </c>
      <c r="C58">
        <f>'greedy-D'!E42</f>
        <v>8</v>
      </c>
      <c r="D58">
        <f>'astar-D'!E42</f>
        <v>7</v>
      </c>
      <c r="G58" t="str">
        <f>'pol-depth'!M28</f>
        <v>TO</v>
      </c>
      <c r="H58">
        <f>'greedy-D'!F42</f>
        <v>0.249497416079975</v>
      </c>
      <c r="I58">
        <f>'astar-D'!F42</f>
        <v>121.752702124998</v>
      </c>
    </row>
    <row r="59" spans="1:9" x14ac:dyDescent="0.2">
      <c r="A59" t="s">
        <v>118</v>
      </c>
      <c r="B59" t="str">
        <f>'pol-depth'!L29</f>
        <v>-</v>
      </c>
      <c r="C59">
        <f>'greedy-D'!E43</f>
        <v>7</v>
      </c>
      <c r="D59">
        <f>'astar-D'!E43</f>
        <v>7</v>
      </c>
      <c r="G59" t="str">
        <f>'pol-depth'!M29</f>
        <v>TO</v>
      </c>
      <c r="H59">
        <f>'greedy-D'!F43</f>
        <v>0.23492333397734899</v>
      </c>
      <c r="I59">
        <f>'astar-D'!F43</f>
        <v>243.99926541605899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pol-CX</vt:lpstr>
      <vt:lpstr>pol-depth</vt:lpstr>
      <vt:lpstr>summ</vt:lpstr>
      <vt:lpstr>Sheet1</vt:lpstr>
      <vt:lpstr>Sheet1a</vt:lpstr>
      <vt:lpstr>Sheet2</vt:lpstr>
      <vt:lpstr>Sheet3</vt:lpstr>
      <vt:lpstr>Sheet4</vt:lpstr>
      <vt:lpstr>Sheet4a</vt:lpstr>
      <vt:lpstr>Sheet5</vt:lpstr>
      <vt:lpstr>Sheet6</vt:lpstr>
      <vt:lpstr>Sheet7</vt:lpstr>
      <vt:lpstr>Sheet7a</vt:lpstr>
      <vt:lpstr>Sheet8</vt:lpstr>
      <vt:lpstr>Sheet9</vt:lpstr>
      <vt:lpstr>Sheet10</vt:lpstr>
      <vt:lpstr>astar-CX</vt:lpstr>
      <vt:lpstr>astar-D</vt:lpstr>
      <vt:lpstr>greedy-CX</vt:lpstr>
      <vt:lpstr>greedy-D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2026-02-27T12:58:35Z</dcterms:created>
  <dcterms:modified xsi:type="dcterms:W3CDTF">2026-03-05T20:43:59Z</dcterms:modified>
</cp:coreProperties>
</file>